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4995a390c459fd/Documents/"/>
    </mc:Choice>
  </mc:AlternateContent>
  <xr:revisionPtr revIDLastSave="7" documentId="8_{C8FCB32D-F0BD-4870-9C2D-64C0B852E6DA}" xr6:coauthVersionLast="47" xr6:coauthVersionMax="47" xr10:uidLastSave="{A6F29D9C-7F22-4BA9-B223-44F5F276771C}"/>
  <bookViews>
    <workbookView xWindow="-108" yWindow="-108" windowWidth="23256" windowHeight="13896" xr2:uid="{9CA8B945-A1EE-4D85-A8FE-66ADE404A9EA}"/>
  </bookViews>
  <sheets>
    <sheet name="dashboard" sheetId="15" r:id="rId1"/>
    <sheet name="bikestore store_wise_sales" sheetId="12" r:id="rId2"/>
  </sheets>
  <definedNames>
    <definedName name="ExternalData_1" localSheetId="1" hidden="1">'bikestore store_wise_sales'!$A$8:$A$9</definedName>
    <definedName name="ExternalData_10" localSheetId="1" hidden="1">'bikestore store_wise_sales'!$C$7:$D$10</definedName>
    <definedName name="ExternalData_11" localSheetId="1" hidden="1">'bikestore store_wise_sales'!$A$1:$B$4</definedName>
    <definedName name="ExternalData_12" localSheetId="1" hidden="1">'bikestore store_wise_sales'!$I$6:$K$11</definedName>
    <definedName name="ExternalData_13" localSheetId="0" hidden="1">dashboard!$A$34:$D$43</definedName>
    <definedName name="ExternalData_14" localSheetId="0" hidden="1">dashboard!$F$37:$J$43</definedName>
    <definedName name="ExternalData_15" localSheetId="1" hidden="1">'bikestore store_wise_sales'!$E$15:$E$16</definedName>
    <definedName name="ExternalData_2" localSheetId="1" hidden="1">'bikestore store_wise_sales'!$M$2:$M$3</definedName>
    <definedName name="ExternalData_3" localSheetId="1" hidden="1">'bikestore store_wise_sales'!$F$6:$G$13</definedName>
    <definedName name="ExternalData_4" localSheetId="1" hidden="1">'bikestore store_wise_sales'!$A$16:$B$18</definedName>
    <definedName name="ExternalData_5" localSheetId="1" hidden="1">'bikestore store_wise_sales'!$A$12:$B$14</definedName>
    <definedName name="ExternalData_6" localSheetId="1" hidden="1">'bikestore store_wise_sales'!$K$2:$K$3</definedName>
    <definedName name="ExternalData_7" localSheetId="1" hidden="1">'bikestore store_wise_sales'!$I$2:$I$3</definedName>
    <definedName name="ExternalData_8" localSheetId="1" hidden="1">'bikestore store_wise_sales'!$G$2:$G$3</definedName>
    <definedName name="ExternalData_9" localSheetId="1" hidden="1">'bikestore store_wise_sales'!$E$2:$E$3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4BAC9-0736-478A-A09D-7E0DD1EC184B}" keepAlive="1" name="Query - bikestore avg_order_value" description="Connection to the 'bikestore avg_order_value' query in the workbook." type="5" refreshedVersion="8" background="1" saveData="1">
    <dbPr connection="Provider=Microsoft.Mashup.OleDb.1;Data Source=$Workbook$;Location=&quot;bikestore avg_order_value&quot;;Extended Properties=&quot;&quot;" command="SELECT * FROM [bikestore avg_order_value]"/>
  </connection>
  <connection id="2" xr16:uid="{80C49C2A-D4A2-4A5C-AE08-CC73B8F8825E}" keepAlive="1" name="Query - bikestore brand_table" description="Connection to the 'bikestore brand_table' query in the workbook." type="5" refreshedVersion="8" background="1" saveData="1">
    <dbPr connection="Provider=Microsoft.Mashup.OleDb.1;Data Source=$Workbook$;Location=&quot;bikestore brand_table&quot;;Extended Properties=&quot;&quot;" command="SELECT * FROM [bikestore brand_table]"/>
  </connection>
  <connection id="3" xr16:uid="{F45D03E0-6C45-45B8-9A8B-E6E44E74EE5F}" keepAlive="1" name="Query - bikestore category_wise_sales" description="Connection to the 'bikestore category_wise_sales' query in the workbook." type="5" refreshedVersion="8" background="1" saveData="1">
    <dbPr connection="Provider=Microsoft.Mashup.OleDb.1;Data Source=$Workbook$;Location=&quot;bikestore category_wise_sales&quot;;Extended Properties=&quot;&quot;" command="SELECT * FROM [bikestore category_wise_sales]"/>
  </connection>
  <connection id="4" xr16:uid="{5362ED38-112C-4FFE-99C0-1C20D57F880E}" keepAlive="1" name="Query - bikestore no  of stores" description="Connection to the 'bikestore no  of stores' query in the workbook." type="5" refreshedVersion="8" background="1" saveData="1">
    <dbPr connection="Provider=Microsoft.Mashup.OleDb.1;Data Source=$Workbook$;Location=&quot;bikestore no  of stores&quot;;Extended Properties=&quot;&quot;" command="SELECT * FROM [bikestore no  of stores]"/>
  </connection>
  <connection id="5" xr16:uid="{BF99003B-46AF-46F9-BC3A-04C67A01D533}" keepAlive="1" name="Query - bikestore no of employees" description="Connection to the 'bikestore no of employees' query in the workbook." type="5" refreshedVersion="8" background="1" saveData="1">
    <dbPr connection="Provider=Microsoft.Mashup.OleDb.1;Data Source=$Workbook$;Location=&quot;bikestore no of employees&quot;;Extended Properties=&quot;&quot;" command="SELECT * FROM [bikestore no of employees]"/>
  </connection>
  <connection id="6" xr16:uid="{A503FF81-3E6A-4A60-BB0E-AF9A979F4CFD}" keepAlive="1" name="Query - bikestore percentage_sales" description="Connection to the 'bikestore percentage_sales' query in the workbook." type="5" refreshedVersion="8" background="1" saveData="1">
    <dbPr connection="Provider=Microsoft.Mashup.OleDb.1;Data Source=$Workbook$;Location=&quot;bikestore percentage_sales&quot;;Extended Properties=&quot;&quot;" command="SELECT * FROM [bikestore percentage_sales]"/>
  </connection>
  <connection id="7" xr16:uid="{DDC9A8C8-51AC-4FBE-BC71-296722ABA7C2}" keepAlive="1" name="Query - bikestore state_wise_sales" description="Connection to the 'bikestore state_wise_sales' query in the workbook." type="5" refreshedVersion="8" background="1" saveData="1">
    <dbPr connection="Provider=Microsoft.Mashup.OleDb.1;Data Source=$Workbook$;Location=&quot;bikestore state_wise_sales&quot;;Extended Properties=&quot;&quot;" command="SELECT * FROM [bikestore state_wise_sales]"/>
  </connection>
  <connection id="8" xr16:uid="{0FAE2C65-C83F-4C60-8728-AAF683C91BE6}" keepAlive="1" name="Query - bikestore store_wise_sales" description="Connection to the 'bikestore store_wise_sales' query in the workbook." type="5" refreshedVersion="8" background="1" saveData="1">
    <dbPr connection="Provider=Microsoft.Mashup.OleDb.1;Data Source=$Workbook$;Location=&quot;bikestore store_wise_sales&quot;;Extended Properties=&quot;&quot;" command="SELECT * FROM [bikestore store_wise_sales]"/>
  </connection>
  <connection id="9" xr16:uid="{774EBA8C-2563-46D7-B617-800D96EADD66}" keepAlive="1" name="Query - bikestore top_5_selling_products" description="Connection to the 'bikestore top_5_selling_products' query in the workbook." type="5" refreshedVersion="8" background="1" saveData="1">
    <dbPr connection="Provider=Microsoft.Mashup.OleDb.1;Data Source=$Workbook$;Location=&quot;bikestore top_5_selling_products&quot;;Extended Properties=&quot;&quot;" command="SELECT * FROM [bikestore top_5_selling_products]"/>
  </connection>
  <connection id="10" xr16:uid="{9B25A589-5E7A-4B39-95FF-8D2A77F23991}" keepAlive="1" name="Query - bikestore top3_brand_vs_other" description="Connection to the 'bikestore top3_brand_vs_other' query in the workbook." type="5" refreshedVersion="8" background="1" saveData="1">
    <dbPr connection="Provider=Microsoft.Mashup.OleDb.1;Data Source=$Workbook$;Location=&quot;bikestore top3_brand_vs_other&quot;;Extended Properties=&quot;&quot;" command="SELECT * FROM [bikestore top3_brand_vs_other]"/>
  </connection>
  <connection id="11" xr16:uid="{B1EE8D5D-652E-44F6-8653-1AC20526613B}" keepAlive="1" name="Query - bikestore top3_employee_vs_others" description="Connection to the 'bikestore top3_employee_vs_others' query in the workbook." type="5" refreshedVersion="8" background="1" saveData="1">
    <dbPr connection="Provider=Microsoft.Mashup.OleDb.1;Data Source=$Workbook$;Location=&quot;bikestore top3_employee_vs_others&quot;;Extended Properties=&quot;&quot;" command="SELECT * FROM [bikestore top3_employee_vs_others]"/>
  </connection>
  <connection id="12" xr16:uid="{344CA609-E34F-4837-8F4C-1F7D68F24097}" keepAlive="1" name="Query - bikestore total discount" description="Connection to the 'bikestore total discount' query in the workbook." type="5" refreshedVersion="8" background="1" saveData="1">
    <dbPr connection="Provider=Microsoft.Mashup.OleDb.1;Data Source=$Workbook$;Location=&quot;bikestore total discount&quot;;Extended Properties=&quot;&quot;" command="SELECT * FROM [bikestore total discount]"/>
  </connection>
  <connection id="13" xr16:uid="{011C83AB-BB7F-454E-B5E5-185C4DD291A2}" keepAlive="1" name="Query - bikestore total_brands" description="Connection to the 'bikestore total_brands' query in the workbook." type="5" refreshedVersion="8" background="1" saveData="1">
    <dbPr connection="Provider=Microsoft.Mashup.OleDb.1;Data Source=$Workbook$;Location=&quot;bikestore total_brands&quot;;Extended Properties=&quot;&quot;" command="SELECT * FROM [bikestore total_brands]"/>
  </connection>
  <connection id="14" xr16:uid="{E15315D2-8EE8-4076-B894-597A1CCF05EB}" keepAlive="1" name="Query - bikestore total_orders" description="Connection to the 'bikestore total_orders' query in the workbook." type="5" refreshedVersion="8" background="1" saveData="1">
    <dbPr connection="Provider=Microsoft.Mashup.OleDb.1;Data Source=$Workbook$;Location=&quot;bikestore total_orders&quot;;Extended Properties=&quot;&quot;" command="SELECT * FROM [bikestore total_orders]"/>
  </connection>
  <connection id="15" xr16:uid="{30CCDEE6-7E37-4382-BB4E-025B7637F7A2}" keepAlive="1" name="Query - bikestore total_sales" description="Connection to the 'bikestore total_sales' query in the workbook." type="5" refreshedVersion="8" background="1" saveData="1">
    <dbPr connection="Provider=Microsoft.Mashup.OleDb.1;Data Source=$Workbook$;Location=&quot;bikestore total_sales&quot;;Extended Properties=&quot;&quot;" command="SELECT * FROM [bikestore total_sales]"/>
  </connection>
</connections>
</file>

<file path=xl/sharedStrings.xml><?xml version="1.0" encoding="utf-8"?>
<sst xmlns="http://schemas.openxmlformats.org/spreadsheetml/2006/main" count="66" uniqueCount="56">
  <si>
    <t>count(store_id)</t>
  </si>
  <si>
    <t>count(order_id)</t>
  </si>
  <si>
    <t>total_sales</t>
  </si>
  <si>
    <t>AOV</t>
  </si>
  <si>
    <t>state</t>
  </si>
  <si>
    <t>NY</t>
  </si>
  <si>
    <t>CA</t>
  </si>
  <si>
    <t>TX</t>
  </si>
  <si>
    <t>store_name</t>
  </si>
  <si>
    <t>Santa Cruz Bikes</t>
  </si>
  <si>
    <t>Baldwin Bikes</t>
  </si>
  <si>
    <t>Rowlett Bikes</t>
  </si>
  <si>
    <t>product_id</t>
  </si>
  <si>
    <t>product_name</t>
  </si>
  <si>
    <t>total_orders</t>
  </si>
  <si>
    <t>Trek Slash 8 27.5 - 2016</t>
  </si>
  <si>
    <t>Trek Conduit+ - 2016</t>
  </si>
  <si>
    <t>Trek Fuel EX 8 29 - 2016</t>
  </si>
  <si>
    <t>Surly Straggler 650b - 2016</t>
  </si>
  <si>
    <t>Trek Domane SLR 6 Disc - 2017</t>
  </si>
  <si>
    <t>brand_name</t>
  </si>
  <si>
    <t>total_discount</t>
  </si>
  <si>
    <t>Electra</t>
  </si>
  <si>
    <t>Trek</t>
  </si>
  <si>
    <t>Surly</t>
  </si>
  <si>
    <t>Ritchey</t>
  </si>
  <si>
    <t>Pure Cycles</t>
  </si>
  <si>
    <t>Heller</t>
  </si>
  <si>
    <t>Haro</t>
  </si>
  <si>
    <t>Sun Bicycles</t>
  </si>
  <si>
    <t>Strider</t>
  </si>
  <si>
    <t>count(staff_id)</t>
  </si>
  <si>
    <t>category_name</t>
  </si>
  <si>
    <t>sales</t>
  </si>
  <si>
    <t>Cruisers Bicycles</t>
  </si>
  <si>
    <t>Mountain Bikes</t>
  </si>
  <si>
    <t>Cyclocross Bicycles</t>
  </si>
  <si>
    <t>Comfort Bicycles</t>
  </si>
  <si>
    <t>Electric Bikes</t>
  </si>
  <si>
    <t>Children Bicycles</t>
  </si>
  <si>
    <t>Road Bikes</t>
  </si>
  <si>
    <t>sum(total_sales)</t>
  </si>
  <si>
    <t>cat</t>
  </si>
  <si>
    <t>top_3</t>
  </si>
  <si>
    <t>other</t>
  </si>
  <si>
    <t>sum(list_price*quantity*discount)</t>
  </si>
  <si>
    <t>staff_id</t>
  </si>
  <si>
    <t>full_name</t>
  </si>
  <si>
    <t>per_sales</t>
  </si>
  <si>
    <t>Genna Serrano</t>
  </si>
  <si>
    <t>Kali Vargas</t>
  </si>
  <si>
    <t>Layla Terrell</t>
  </si>
  <si>
    <t>Marcelene Boyer</t>
  </si>
  <si>
    <t>Mireya Copeland</t>
  </si>
  <si>
    <t>Venita Daniel</t>
  </si>
  <si>
    <t>count(brand_id)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</si>
</sst>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,,&quot;m&quot;"/>
    <numFmt numFmtId="166" formatCode="0.00&quot;%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0" xfId="0" applyNumberFormat="1" applyFont="1" applyFill="1"/>
    <xf numFmtId="164" fontId="6" fillId="2" borderId="0" xfId="0" applyNumberFormat="1" applyFont="1" applyFill="1"/>
    <xf numFmtId="166" fontId="4" fillId="2" borderId="0" xfId="1" applyNumberFormat="1" applyFont="1" applyFill="1"/>
    <xf numFmtId="164" fontId="4" fillId="2" borderId="0" xfId="0" applyNumberFormat="1" applyFont="1" applyFill="1"/>
  </cellXfs>
  <cellStyles count="2">
    <cellStyle name="Comma" xfId="1" builtinId="3"/>
    <cellStyle name="Normal" xfId="0" builtinId="0"/>
  </cellStyles>
  <dxfs count="29"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numFmt numFmtId="164" formatCode="0.00,,&quot;m&quot;"/>
      <fill>
        <patternFill patternType="solid">
          <fgColor indexed="64"/>
          <bgColor theme="3" tint="0.749992370372631"/>
        </patternFill>
      </fill>
    </dxf>
    <dxf>
      <font>
        <b/>
      </font>
      <numFmt numFmtId="164" formatCode="0.00,,&quot;m&quot;"/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4" formatCode="0.00,,&quot;m&quot;"/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74999237037263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</dxf>
    <dxf>
      <numFmt numFmtId="164" formatCode="0.00,,&quot;m&quot;"/>
    </dxf>
    <dxf>
      <numFmt numFmtId="0" formatCode="General"/>
    </dxf>
    <dxf>
      <numFmt numFmtId="164" formatCode="0.00,,&quot;m&quot;"/>
    </dxf>
    <dxf>
      <numFmt numFmtId="0" formatCode="General"/>
    </dxf>
    <dxf>
      <numFmt numFmtId="0" formatCode="General"/>
    </dxf>
    <dxf>
      <numFmt numFmtId="164" formatCode="0.00,,&quot;m&quot;"/>
    </dxf>
    <dxf>
      <numFmt numFmtId="0" formatCode="General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2" formatCode="0.00"/>
    </dxf>
    <dxf>
      <numFmt numFmtId="2" formatCode="0.00"/>
    </dxf>
    <dxf>
      <numFmt numFmtId="164" formatCode="0.00,,&quot;m&quot;"/>
    </dxf>
    <dxf>
      <numFmt numFmtId="0" formatCode="General"/>
    </dxf>
    <dxf>
      <numFmt numFmtId="164" formatCode="0.00,,&quot;m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Selling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4900813158093866"/>
          <c:y val="0.1631087668724972"/>
          <c:w val="0.44450733381776775"/>
          <c:h val="0.62156671057538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'bikestore store_wise_sales'!$K$6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'bikestore store_wise_sales'!$J$7:$J$11</c:f>
              <c:strCache>
                <c:ptCount val="5"/>
                <c:pt idx="0">
                  <c:v>Trek Slash 8 27.5 - 2016</c:v>
                </c:pt>
                <c:pt idx="1">
                  <c:v>Trek Conduit+ - 2016</c:v>
                </c:pt>
                <c:pt idx="2">
                  <c:v>Trek Fuel EX 8 29 - 2016</c:v>
                </c:pt>
                <c:pt idx="3">
                  <c:v>Surly Straggler 650b - 2016</c:v>
                </c:pt>
                <c:pt idx="4">
                  <c:v>Trek Domane SLR 6 Disc - 2017</c:v>
                </c:pt>
              </c:strCache>
            </c:strRef>
          </c:cat>
          <c:val>
            <c:numRef>
              <c:f>'bikestore store_wise_sales'!$K$7:$K$11</c:f>
              <c:numCache>
                <c:formatCode>0.00,,"m"</c:formatCode>
                <c:ptCount val="5"/>
                <c:pt idx="0">
                  <c:v>555558.61109999998</c:v>
                </c:pt>
                <c:pt idx="1">
                  <c:v>389248.70250000001</c:v>
                </c:pt>
                <c:pt idx="2">
                  <c:v>368472.72940000001</c:v>
                </c:pt>
                <c:pt idx="3">
                  <c:v>226765.55100000001</c:v>
                </c:pt>
                <c:pt idx="4">
                  <c:v>211584.6153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A-4FEA-BB40-77B6E1CB6D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9893072"/>
        <c:axId val="1749893552"/>
      </c:barChart>
      <c:catAx>
        <c:axId val="1749893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Name</a:t>
                </a:r>
              </a:p>
            </c:rich>
          </c:tx>
          <c:layout>
            <c:manualLayout>
              <c:xMode val="edge"/>
              <c:yMode val="edge"/>
              <c:x val="2.2190704005816972E-3"/>
              <c:y val="0.40409975201197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93552"/>
        <c:crosses val="autoZero"/>
        <c:auto val="1"/>
        <c:lblAlgn val="ctr"/>
        <c:lblOffset val="100"/>
        <c:noMultiLvlLbl val="0"/>
      </c:catAx>
      <c:valAx>
        <c:axId val="174989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9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Store</a:t>
            </a:r>
            <a:r>
              <a:rPr lang="en-IN" b="1" baseline="0"/>
              <a:t> 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DF-48E1-AC28-5A74D1DB23B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DF-48E1-AC28-5A74D1DB23B2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DF-48E1-AC28-5A74D1DB23B2}"/>
              </c:ext>
            </c:extLst>
          </c:dPt>
          <c:dLbls>
            <c:dLbl>
              <c:idx val="0"/>
              <c:layout>
                <c:manualLayout>
                  <c:x val="0.11666666666666667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DF-48E1-AC28-5A74D1DB23B2}"/>
                </c:ext>
              </c:extLst>
            </c:dLbl>
            <c:dLbl>
              <c:idx val="1"/>
              <c:layout>
                <c:manualLayout>
                  <c:x val="-0.12777777777777782"/>
                  <c:y val="1.851851851851843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DF-48E1-AC28-5A74D1DB23B2}"/>
                </c:ext>
              </c:extLst>
            </c:dLbl>
            <c:dLbl>
              <c:idx val="2"/>
              <c:layout>
                <c:manualLayout>
                  <c:x val="-0.10555555555555561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DF-48E1-AC28-5A74D1DB2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'bikestore store_wise_sales'!$A$2:$A$4</c:f>
              <c:strCache>
                <c:ptCount val="3"/>
                <c:pt idx="0">
                  <c:v>Santa Cruz Bikes</c:v>
                </c:pt>
                <c:pt idx="1">
                  <c:v>Baldwin Bikes</c:v>
                </c:pt>
                <c:pt idx="2">
                  <c:v>Rowlett Bikes</c:v>
                </c:pt>
              </c:strCache>
            </c:strRef>
          </c:cat>
          <c:val>
            <c:numRef>
              <c:f>'bikestore store_wise_sales'!$B$2:$B$4</c:f>
              <c:numCache>
                <c:formatCode>0.00,,"m"</c:formatCode>
                <c:ptCount val="3"/>
                <c:pt idx="0">
                  <c:v>1605823.0364999999</c:v>
                </c:pt>
                <c:pt idx="1">
                  <c:v>5215751.2774999999</c:v>
                </c:pt>
                <c:pt idx="2">
                  <c:v>867542.24360000005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DF-48E1-AC28-5A74D1DB23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State</a:t>
            </a:r>
            <a:r>
              <a:rPr lang="en-IN" b="1" baseline="0"/>
              <a:t> 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0835166743863"/>
          <c:y val="0.20882009386896347"/>
          <c:w val="0.74970688413192998"/>
          <c:h val="0.62166848767507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'bikestore store_wise_sales'!$D$7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'bikestore store_wise_sales'!$C$8:$C$10</c:f>
              <c:strCache>
                <c:ptCount val="3"/>
                <c:pt idx="0">
                  <c:v>NY</c:v>
                </c:pt>
                <c:pt idx="1">
                  <c:v>CA</c:v>
                </c:pt>
                <c:pt idx="2">
                  <c:v>TX</c:v>
                </c:pt>
              </c:strCache>
            </c:strRef>
          </c:cat>
          <c:val>
            <c:numRef>
              <c:f>'bikestore store_wise_sales'!$D$8:$D$10</c:f>
              <c:numCache>
                <c:formatCode>0.00,,"m"</c:formatCode>
                <c:ptCount val="3"/>
                <c:pt idx="0">
                  <c:v>5215751.2774999999</c:v>
                </c:pt>
                <c:pt idx="1">
                  <c:v>1605823.0364999999</c:v>
                </c:pt>
                <c:pt idx="2">
                  <c:v>867542.24360000005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E-45AD-AEC2-60A927BD2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680016"/>
        <c:axId val="1754680496"/>
      </c:barChart>
      <c:catAx>
        <c:axId val="175468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80496"/>
        <c:crosses val="autoZero"/>
        <c:auto val="1"/>
        <c:lblAlgn val="ctr"/>
        <c:lblOffset val="100"/>
        <c:noMultiLvlLbl val="0"/>
      </c:catAx>
      <c:valAx>
        <c:axId val="1754680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80016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3 Brand VS Other Contribution in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E-414E-B548-BB1622C8F29A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4E-414E-B548-BB1622C8F29A}"/>
              </c:ext>
            </c:extLst>
          </c:dPt>
          <c:dLbls>
            <c:dLbl>
              <c:idx val="0"/>
              <c:layout>
                <c:manualLayout>
                  <c:x val="0.11769696639094489"/>
                  <c:y val="5.3016791783138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4E-414E-B548-BB1622C8F29A}"/>
                </c:ext>
              </c:extLst>
            </c:dLbl>
            <c:dLbl>
              <c:idx val="1"/>
              <c:layout>
                <c:manualLayout>
                  <c:x val="-8.0555555555555561E-2"/>
                  <c:y val="-7.407407407407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4E-414E-B548-BB1622C8F2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'bikestore store_wise_sales'!$A$17:$A$18</c:f>
              <c:numCache>
                <c:formatCode>0.00,,"m"</c:formatCode>
                <c:ptCount val="2"/>
                <c:pt idx="0">
                  <c:v>6757582.2337999996</c:v>
                </c:pt>
                <c:pt idx="1">
                  <c:v>931534.32380000001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4E-414E-B548-BB1622C8F2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855749789904152E-2"/>
          <c:y val="0.89409667541557303"/>
          <c:w val="0.8807278129859007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Wise </a:t>
            </a:r>
            <a:r>
              <a:rPr lang="en-IN" b="1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'bikestore store_wise_sales'!$G$6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5-43D3-A2DB-A58E5FFFE79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5-43D3-A2DB-A58E5FFFE79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65-43D3-A2DB-A58E5FFFE79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65-43D3-A2DB-A58E5FFFE79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65-43D3-A2DB-A58E5FFFE79A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65-43D3-A2DB-A58E5FFFE79A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65-43D3-A2DB-A58E5FFFE79A}"/>
              </c:ext>
            </c:extLst>
          </c:dPt>
          <c:dLbls>
            <c:dLbl>
              <c:idx val="0"/>
              <c:layout>
                <c:manualLayout>
                  <c:x val="2.7962452505488462E-2"/>
                  <c:y val="3.55941965587634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65-43D3-A2DB-A58E5FFFE79A}"/>
                </c:ext>
              </c:extLst>
            </c:dLbl>
            <c:dLbl>
              <c:idx val="1"/>
              <c:layout>
                <c:manualLayout>
                  <c:x val="1.1273058952737291E-2"/>
                  <c:y val="-3.34976183532613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65-43D3-A2DB-A58E5FFFE79A}"/>
                </c:ext>
              </c:extLst>
            </c:dLbl>
            <c:dLbl>
              <c:idx val="2"/>
              <c:layout>
                <c:manualLayout>
                  <c:x val="5.917878948642058E-2"/>
                  <c:y val="2.629775444736074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65-43D3-A2DB-A58E5FFFE79A}"/>
                </c:ext>
              </c:extLst>
            </c:dLbl>
            <c:dLbl>
              <c:idx val="3"/>
              <c:layout>
                <c:manualLayout>
                  <c:x val="5.5393840397609606E-3"/>
                  <c:y val="3.8786818314377367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65-43D3-A2DB-A58E5FFFE79A}"/>
                </c:ext>
              </c:extLst>
            </c:dLbl>
            <c:dLbl>
              <c:idx val="4"/>
              <c:layout>
                <c:manualLayout>
                  <c:x val="-2.6349521948206975E-2"/>
                  <c:y val="-1.501421697287839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65-43D3-A2DB-A58E5FFFE79A}"/>
                </c:ext>
              </c:extLst>
            </c:dLbl>
            <c:dLbl>
              <c:idx val="5"/>
              <c:layout>
                <c:manualLayout>
                  <c:x val="8.5663660393514637E-3"/>
                  <c:y val="1.27269855156994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A65-43D3-A2DB-A58E5FFFE79A}"/>
                </c:ext>
              </c:extLst>
            </c:dLbl>
            <c:dLbl>
              <c:idx val="6"/>
              <c:layout>
                <c:manualLayout>
                  <c:x val="-4.3179336263024511E-2"/>
                  <c:y val="5.35407553222513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65-43D3-A2DB-A58E5FFFE7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'bikestore store_wise_sales'!$F$7:$F$13</c:f>
              <c:strCache>
                <c:ptCount val="7"/>
                <c:pt idx="0">
                  <c:v>Cruisers Bicycles</c:v>
                </c:pt>
                <c:pt idx="1">
                  <c:v>Mountain Bikes</c:v>
                </c:pt>
                <c:pt idx="2">
                  <c:v>Cyclocross Bicycles</c:v>
                </c:pt>
                <c:pt idx="3">
                  <c:v>Comfort Bicycles</c:v>
                </c:pt>
                <c:pt idx="4">
                  <c:v>Electric Bikes</c:v>
                </c:pt>
                <c:pt idx="5">
                  <c:v>Children Bicycles</c:v>
                </c:pt>
                <c:pt idx="6">
                  <c:v>Road Bikes</c:v>
                </c:pt>
              </c:strCache>
            </c:strRef>
          </c:cat>
          <c:val>
            <c:numRef>
              <c:f>'bikestore store_wise_sales'!$G$7:$G$13</c:f>
              <c:numCache>
                <c:formatCode>0.00,,"m"</c:formatCode>
                <c:ptCount val="7"/>
                <c:pt idx="0">
                  <c:v>995032.6237</c:v>
                </c:pt>
                <c:pt idx="1">
                  <c:v>2715079.5337</c:v>
                </c:pt>
                <c:pt idx="2">
                  <c:v>711011.83589999995</c:v>
                </c:pt>
                <c:pt idx="3">
                  <c:v>394020.0981</c:v>
                </c:pt>
                <c:pt idx="4">
                  <c:v>916684.78</c:v>
                </c:pt>
                <c:pt idx="5">
                  <c:v>292189.19819999998</c:v>
                </c:pt>
                <c:pt idx="6">
                  <c:v>1665098.4879999999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65-43D3-A2DB-A58E5FFFE7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066352078330654E-2"/>
          <c:y val="0.81134149897929431"/>
          <c:w val="0.87977722864429175"/>
          <c:h val="0.17013998250218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3 Employees VS Others Contribution in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700612423447075"/>
          <c:y val="0.22004447360746568"/>
          <c:w val="0.34487685914260718"/>
          <c:h val="0.5747947652376785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17-4601-A8F5-E2695E6772E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17-4601-A8F5-E2695E6772EA}"/>
              </c:ext>
            </c:extLst>
          </c:dPt>
          <c:dLbls>
            <c:dLbl>
              <c:idx val="0"/>
              <c:layout>
                <c:manualLayout>
                  <c:x val="7.9820155926682373E-2"/>
                  <c:y val="-4.62970664492073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17-4601-A8F5-E2695E6772EA}"/>
                </c:ext>
              </c:extLst>
            </c:dLbl>
            <c:dLbl>
              <c:idx val="1"/>
              <c:layout>
                <c:manualLayout>
                  <c:x val="-9.4444444444444442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17-4601-A8F5-E2695E677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'bikestore store_wise_sales'!$A$13:$A$14</c:f>
              <c:numCache>
                <c:formatCode>0.00,,"m"</c:formatCode>
                <c:ptCount val="2"/>
                <c:pt idx="0">
                  <c:v>6069038.6364000002</c:v>
                </c:pt>
                <c:pt idx="1">
                  <c:v>1620077.9212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7-4601-A8F5-E2695E6772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067147856517934E-2"/>
          <c:y val="0.89409667541557303"/>
          <c:w val="0.8601990376202975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</xdr:colOff>
      <xdr:row>3</xdr:row>
      <xdr:rowOff>112342</xdr:rowOff>
    </xdr:from>
    <xdr:to>
      <xdr:col>2</xdr:col>
      <xdr:colOff>609600</xdr:colOff>
      <xdr:row>9</xdr:row>
      <xdr:rowOff>119962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2559B0-5210-026B-7A46-9CD74204FF4F}"/>
            </a:ext>
          </a:extLst>
        </xdr:cNvPr>
        <xdr:cNvSpPr/>
      </xdr:nvSpPr>
      <xdr:spPr>
        <a:xfrm>
          <a:off x="66040" y="660982"/>
          <a:ext cx="2473960" cy="1104900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340728</xdr:colOff>
      <xdr:row>3</xdr:row>
      <xdr:rowOff>100225</xdr:rowOff>
    </xdr:from>
    <xdr:to>
      <xdr:col>8</xdr:col>
      <xdr:colOff>172720</xdr:colOff>
      <xdr:row>9</xdr:row>
      <xdr:rowOff>107845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41C6472-A86E-45D1-7DE2-C69B225DBF33}"/>
            </a:ext>
          </a:extLst>
        </xdr:cNvPr>
        <xdr:cNvSpPr/>
      </xdr:nvSpPr>
      <xdr:spPr>
        <a:xfrm>
          <a:off x="5176888" y="648865"/>
          <a:ext cx="2565032" cy="1104900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439573</xdr:colOff>
      <xdr:row>3</xdr:row>
      <xdr:rowOff>59581</xdr:rowOff>
    </xdr:from>
    <xdr:to>
      <xdr:col>11</xdr:col>
      <xdr:colOff>473114</xdr:colOff>
      <xdr:row>9</xdr:row>
      <xdr:rowOff>67201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1976306-CE6A-788C-9AE2-D7AF19CF0FAE}"/>
            </a:ext>
          </a:extLst>
        </xdr:cNvPr>
        <xdr:cNvSpPr/>
      </xdr:nvSpPr>
      <xdr:spPr>
        <a:xfrm>
          <a:off x="8008773" y="608221"/>
          <a:ext cx="2380501" cy="1104900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91440</xdr:colOff>
      <xdr:row>3</xdr:row>
      <xdr:rowOff>46486</xdr:rowOff>
    </xdr:from>
    <xdr:to>
      <xdr:col>15</xdr:col>
      <xdr:colOff>547263</xdr:colOff>
      <xdr:row>9</xdr:row>
      <xdr:rowOff>54106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AF9AA97-88D0-D733-A442-148BA37A9220}"/>
            </a:ext>
          </a:extLst>
        </xdr:cNvPr>
        <xdr:cNvSpPr/>
      </xdr:nvSpPr>
      <xdr:spPr>
        <a:xfrm>
          <a:off x="10617200" y="595126"/>
          <a:ext cx="2284623" cy="1104900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268629</xdr:colOff>
      <xdr:row>3</xdr:row>
      <xdr:rowOff>65093</xdr:rowOff>
    </xdr:from>
    <xdr:to>
      <xdr:col>19</xdr:col>
      <xdr:colOff>337208</xdr:colOff>
      <xdr:row>9</xdr:row>
      <xdr:rowOff>73447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25AF5F8-C137-0F89-6E90-3B20516A77DB}"/>
            </a:ext>
          </a:extLst>
        </xdr:cNvPr>
        <xdr:cNvSpPr/>
      </xdr:nvSpPr>
      <xdr:spPr>
        <a:xfrm>
          <a:off x="11810389" y="613733"/>
          <a:ext cx="1897379" cy="1105634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499589</xdr:colOff>
      <xdr:row>3</xdr:row>
      <xdr:rowOff>36723</xdr:rowOff>
    </xdr:from>
    <xdr:to>
      <xdr:col>22</xdr:col>
      <xdr:colOff>624290</xdr:colOff>
      <xdr:row>9</xdr:row>
      <xdr:rowOff>44343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D976193-36C8-2481-23A7-90124720B1F0}"/>
            </a:ext>
          </a:extLst>
        </xdr:cNvPr>
        <xdr:cNvSpPr/>
      </xdr:nvSpPr>
      <xdr:spPr>
        <a:xfrm>
          <a:off x="13444408" y="587566"/>
          <a:ext cx="1942484" cy="1109307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201976</xdr:colOff>
      <xdr:row>0</xdr:row>
      <xdr:rowOff>18360</xdr:rowOff>
    </xdr:from>
    <xdr:to>
      <xdr:col>8</xdr:col>
      <xdr:colOff>656897</xdr:colOff>
      <xdr:row>3</xdr:row>
      <xdr:rowOff>50799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200E2EE-0578-13B5-D0E2-CC7376A503DD}"/>
            </a:ext>
          </a:extLst>
        </xdr:cNvPr>
        <xdr:cNvSpPr txBox="1"/>
      </xdr:nvSpPr>
      <xdr:spPr>
        <a:xfrm>
          <a:off x="201976" y="18360"/>
          <a:ext cx="8009231" cy="74188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>
              <a:ln>
                <a:solidFill>
                  <a:schemeClr val="bg1"/>
                </a:solidFill>
              </a:ln>
              <a:solidFill>
                <a:schemeClr val="tx2">
                  <a:lumMod val="90000"/>
                  <a:lumOff val="10000"/>
                </a:schemeClr>
              </a:solidFill>
              <a:effectLst>
                <a:innerShdw blurRad="63500" dist="50800">
                  <a:prstClr val="black">
                    <a:alpha val="50000"/>
                  </a:prstClr>
                </a:inn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BikeStore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2">
                  <a:lumMod val="90000"/>
                  <a:lumOff val="10000"/>
                </a:schemeClr>
              </a:solidFill>
              <a:effectLst>
                <a:innerShdw blurRad="63500" dist="50800">
                  <a:prstClr val="black">
                    <a:alpha val="50000"/>
                  </a:prstClr>
                </a:inn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 </a:t>
          </a:r>
          <a:r>
            <a:rPr lang="en-IN" sz="3600" b="1" baseline="0">
              <a:ln>
                <a:solidFill>
                  <a:schemeClr val="bg1"/>
                </a:solidFill>
              </a:ln>
              <a:solidFill>
                <a:schemeClr val="tx2">
                  <a:lumMod val="90000"/>
                  <a:lumOff val="10000"/>
                </a:schemeClr>
              </a:solidFill>
              <a:effectLst>
                <a:innerShdw blurRad="63500" dist="50800">
                  <a:prstClr val="black">
                    <a:alpha val="50000"/>
                  </a:prstClr>
                </a:inn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Sales</a:t>
          </a:r>
          <a:r>
            <a:rPr lang="en-IN" sz="1600" b="1" baseline="0">
              <a:ln>
                <a:solidFill>
                  <a:schemeClr val="bg1"/>
                </a:solidFill>
              </a:ln>
              <a:solidFill>
                <a:schemeClr val="tx2">
                  <a:lumMod val="90000"/>
                  <a:lumOff val="10000"/>
                </a:schemeClr>
              </a:solidFill>
              <a:effectLst>
                <a:innerShdw blurRad="63500" dist="50800">
                  <a:prstClr val="black">
                    <a:alpha val="50000"/>
                  </a:prstClr>
                </a:inn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 </a:t>
          </a:r>
          <a:r>
            <a:rPr lang="en-IN" sz="3600" b="1" baseline="0">
              <a:ln>
                <a:solidFill>
                  <a:schemeClr val="bg1"/>
                </a:solidFill>
              </a:ln>
              <a:solidFill>
                <a:schemeClr val="tx2">
                  <a:lumMod val="90000"/>
                  <a:lumOff val="10000"/>
                </a:schemeClr>
              </a:solidFill>
              <a:effectLst>
                <a:innerShdw blurRad="63500" dist="50800">
                  <a:prstClr val="black">
                    <a:alpha val="50000"/>
                  </a:prstClr>
                </a:innerShdw>
              </a:effectLst>
              <a:latin typeface="Cambria Math" panose="02040503050406030204" pitchFamily="18" charset="0"/>
              <a:ea typeface="Cambria Math" panose="02040503050406030204" pitchFamily="18" charset="0"/>
            </a:rPr>
            <a:t>Dashboard</a:t>
          </a:r>
          <a:endParaRPr lang="en-IN" sz="1600" b="1">
            <a:ln>
              <a:solidFill>
                <a:schemeClr val="bg1"/>
              </a:solidFill>
            </a:ln>
            <a:solidFill>
              <a:schemeClr val="tx2">
                <a:lumMod val="90000"/>
                <a:lumOff val="10000"/>
              </a:schemeClr>
            </a:solidFill>
            <a:effectLst>
              <a:innerShdw blurRad="63500" dist="50800">
                <a:prstClr val="black">
                  <a:alpha val="50000"/>
                </a:prstClr>
              </a:innerShdw>
            </a:effectLst>
            <a:latin typeface="Cambria Math" panose="02040503050406030204" pitchFamily="18" charset="0"/>
            <a:ea typeface="Cambria Math" panose="02040503050406030204" pitchFamily="18" charset="0"/>
          </a:endParaRPr>
        </a:p>
      </xdr:txBody>
    </xdr:sp>
    <xdr:clientData/>
  </xdr:twoCellAnchor>
  <xdr:twoCellAnchor>
    <xdr:from>
      <xdr:col>0</xdr:col>
      <xdr:colOff>541663</xdr:colOff>
      <xdr:row>4</xdr:row>
      <xdr:rowOff>55084</xdr:rowOff>
    </xdr:from>
    <xdr:to>
      <xdr:col>2</xdr:col>
      <xdr:colOff>548640</xdr:colOff>
      <xdr:row>6</xdr:row>
      <xdr:rowOff>45903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44B1FAE-4746-C8EB-07A2-2A78CFFDACFB}"/>
            </a:ext>
          </a:extLst>
        </xdr:cNvPr>
        <xdr:cNvSpPr txBox="1"/>
      </xdr:nvSpPr>
      <xdr:spPr>
        <a:xfrm>
          <a:off x="541663" y="786604"/>
          <a:ext cx="1937377" cy="356579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Total</a:t>
          </a:r>
          <a:r>
            <a:rPr lang="en-IN" sz="2000" b="1" baseline="0"/>
            <a:t> </a:t>
          </a:r>
          <a:r>
            <a:rPr lang="en-IN" sz="2000" b="1" baseline="0">
              <a:solidFill>
                <a:schemeClr val="bg1"/>
              </a:solidFill>
            </a:rPr>
            <a:t>Sales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30480</xdr:colOff>
      <xdr:row>3</xdr:row>
      <xdr:rowOff>178963</xdr:rowOff>
    </xdr:from>
    <xdr:to>
      <xdr:col>7</xdr:col>
      <xdr:colOff>833120</xdr:colOff>
      <xdr:row>5</xdr:row>
      <xdr:rowOff>142240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4DDB1B3-F70E-C211-9005-48AC63062C4E}"/>
            </a:ext>
          </a:extLst>
        </xdr:cNvPr>
        <xdr:cNvSpPr txBox="1"/>
      </xdr:nvSpPr>
      <xdr:spPr>
        <a:xfrm>
          <a:off x="5709920" y="727603"/>
          <a:ext cx="1838960" cy="329037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No. Of Stores</a:t>
          </a:r>
        </a:p>
      </xdr:txBody>
    </xdr:sp>
    <xdr:clientData/>
  </xdr:twoCellAnchor>
  <xdr:twoCellAnchor>
    <xdr:from>
      <xdr:col>8</xdr:col>
      <xdr:colOff>620495</xdr:colOff>
      <xdr:row>4</xdr:row>
      <xdr:rowOff>7221</xdr:rowOff>
    </xdr:from>
    <xdr:to>
      <xdr:col>11</xdr:col>
      <xdr:colOff>365761</xdr:colOff>
      <xdr:row>6</xdr:row>
      <xdr:rowOff>43944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F7DBB93-6319-886A-94FD-3A23196D60AE}"/>
            </a:ext>
          </a:extLst>
        </xdr:cNvPr>
        <xdr:cNvSpPr txBox="1"/>
      </xdr:nvSpPr>
      <xdr:spPr>
        <a:xfrm>
          <a:off x="8189695" y="738741"/>
          <a:ext cx="2092226" cy="402483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bg1"/>
              </a:solidFill>
              <a:latin typeface="+mn-lt"/>
              <a:ea typeface="+mn-ea"/>
              <a:cs typeface="+mn-cs"/>
            </a:rPr>
            <a:t>No. Of Employees</a:t>
          </a:r>
        </a:p>
      </xdr:txBody>
    </xdr:sp>
    <xdr:clientData/>
  </xdr:twoCellAnchor>
  <xdr:twoCellAnchor>
    <xdr:from>
      <xdr:col>13</xdr:col>
      <xdr:colOff>255499</xdr:colOff>
      <xdr:row>3</xdr:row>
      <xdr:rowOff>142240</xdr:rowOff>
    </xdr:from>
    <xdr:to>
      <xdr:col>14</xdr:col>
      <xdr:colOff>555985</xdr:colOff>
      <xdr:row>6</xdr:row>
      <xdr:rowOff>32805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1A842BF-62F5-C791-45C7-61226A8E972C}"/>
            </a:ext>
          </a:extLst>
        </xdr:cNvPr>
        <xdr:cNvSpPr txBox="1"/>
      </xdr:nvSpPr>
      <xdr:spPr>
        <a:xfrm>
          <a:off x="11390859" y="690880"/>
          <a:ext cx="910086" cy="439205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bg1"/>
              </a:solidFill>
              <a:latin typeface="+mn-lt"/>
              <a:ea typeface="+mn-ea"/>
              <a:cs typeface="+mn-cs"/>
            </a:rPr>
            <a:t>AOV</a:t>
          </a:r>
        </a:p>
      </xdr:txBody>
    </xdr:sp>
    <xdr:clientData/>
  </xdr:twoCellAnchor>
  <xdr:twoCellAnchor>
    <xdr:from>
      <xdr:col>16</xdr:col>
      <xdr:colOff>505185</xdr:colOff>
      <xdr:row>3</xdr:row>
      <xdr:rowOff>144934</xdr:rowOff>
    </xdr:from>
    <xdr:to>
      <xdr:col>19</xdr:col>
      <xdr:colOff>172720</xdr:colOff>
      <xdr:row>5</xdr:row>
      <xdr:rowOff>171741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45B7269-16C1-7343-51EA-37F7D6955CAF}"/>
            </a:ext>
          </a:extLst>
        </xdr:cNvPr>
        <xdr:cNvSpPr txBox="1"/>
      </xdr:nvSpPr>
      <xdr:spPr>
        <a:xfrm>
          <a:off x="13469345" y="693574"/>
          <a:ext cx="1740175" cy="392567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bg1"/>
              </a:solidFill>
              <a:latin typeface="+mn-lt"/>
              <a:ea typeface="+mn-ea"/>
              <a:cs typeface="+mn-cs"/>
            </a:rPr>
            <a:t>Total Discount</a:t>
          </a:r>
        </a:p>
      </xdr:txBody>
    </xdr:sp>
    <xdr:clientData/>
  </xdr:twoCellAnchor>
  <xdr:twoCellAnchor>
    <xdr:from>
      <xdr:col>19</xdr:col>
      <xdr:colOff>853440</xdr:colOff>
      <xdr:row>3</xdr:row>
      <xdr:rowOff>106253</xdr:rowOff>
    </xdr:from>
    <xdr:to>
      <xdr:col>22</xdr:col>
      <xdr:colOff>386080</xdr:colOff>
      <xdr:row>5</xdr:row>
      <xdr:rowOff>97072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D9CFBFF-B192-7974-A274-56E308A763A1}"/>
            </a:ext>
          </a:extLst>
        </xdr:cNvPr>
        <xdr:cNvSpPr txBox="1"/>
      </xdr:nvSpPr>
      <xdr:spPr>
        <a:xfrm>
          <a:off x="15890240" y="654893"/>
          <a:ext cx="2316480" cy="356579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2000" b="1">
              <a:solidFill>
                <a:schemeClr val="bg1"/>
              </a:solidFill>
              <a:latin typeface="+mn-lt"/>
              <a:ea typeface="+mn-ea"/>
              <a:cs typeface="+mn-cs"/>
            </a:rPr>
            <a:t>Total</a:t>
          </a:r>
          <a:r>
            <a:rPr lang="en-IN" sz="2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No. Of Brands</a:t>
          </a:r>
          <a:endParaRPr lang="en-IN" sz="2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786602</xdr:colOff>
      <xdr:row>6</xdr:row>
      <xdr:rowOff>5265</xdr:rowOff>
    </xdr:from>
    <xdr:to>
      <xdr:col>2</xdr:col>
      <xdr:colOff>243840</xdr:colOff>
      <xdr:row>8</xdr:row>
      <xdr:rowOff>78709</xdr:rowOff>
    </xdr:to>
    <xdr:sp macro="" textlink="'bikestore store_wise_sales'!G3">
      <xdr:nvSpPr>
        <xdr:cNvPr id="23" name="TextBox 22">
          <a:extLst>
            <a:ext uri="{FF2B5EF4-FFF2-40B4-BE49-F238E27FC236}">
              <a16:creationId xmlns:a16="http://schemas.microsoft.com/office/drawing/2014/main" id="{ABBC81F9-03EA-5436-846D-B67958EC40BB}"/>
            </a:ext>
          </a:extLst>
        </xdr:cNvPr>
        <xdr:cNvSpPr txBox="1"/>
      </xdr:nvSpPr>
      <xdr:spPr>
        <a:xfrm>
          <a:off x="786602" y="1102545"/>
          <a:ext cx="1387638" cy="439204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5A3F030-7E7F-48D7-A917-8FF1BCB7CC26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/>
            <a:t>7.69m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800497</xdr:colOff>
      <xdr:row>3</xdr:row>
      <xdr:rowOff>108422</xdr:rowOff>
    </xdr:from>
    <xdr:to>
      <xdr:col>5</xdr:col>
      <xdr:colOff>164641</xdr:colOff>
      <xdr:row>9</xdr:row>
      <xdr:rowOff>116042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2C724D4-D276-C7B7-0737-A9D3AB06361F}"/>
            </a:ext>
          </a:extLst>
        </xdr:cNvPr>
        <xdr:cNvGrpSpPr/>
      </xdr:nvGrpSpPr>
      <xdr:grpSpPr>
        <a:xfrm>
          <a:off x="2731773" y="817870"/>
          <a:ext cx="2254489" cy="1111206"/>
          <a:chOff x="2822337" y="687542"/>
          <a:chExt cx="2269904" cy="110490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C52E78F-018D-0C20-A725-58FF4B267DC3}"/>
              </a:ext>
            </a:extLst>
          </xdr:cNvPr>
          <xdr:cNvSpPr/>
        </xdr:nvSpPr>
        <xdr:spPr>
          <a:xfrm>
            <a:off x="2822337" y="687542"/>
            <a:ext cx="2269904" cy="1104900"/>
          </a:xfrm>
          <a:prstGeom prst="roundRect">
            <a:avLst/>
          </a:prstGeom>
          <a:solidFill>
            <a:schemeClr val="accent4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D9A10AB-9F95-A609-4AC2-7922F02DC973}"/>
              </a:ext>
            </a:extLst>
          </xdr:cNvPr>
          <xdr:cNvSpPr txBox="1"/>
        </xdr:nvSpPr>
        <xdr:spPr>
          <a:xfrm>
            <a:off x="3230881" y="765305"/>
            <a:ext cx="1483359" cy="402483"/>
          </a:xfrm>
          <a:prstGeom prst="rect">
            <a:avLst/>
          </a:prstGeom>
          <a:solidFill>
            <a:schemeClr val="accent4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IN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Total Orders</a:t>
            </a:r>
          </a:p>
        </xdr:txBody>
      </xdr:sp>
      <xdr:sp macro="" textlink="'bikestore store_wise_sales'!I3">
        <xdr:nvSpPr>
          <xdr:cNvPr id="24" name="TextBox 23">
            <a:extLst>
              <a:ext uri="{FF2B5EF4-FFF2-40B4-BE49-F238E27FC236}">
                <a16:creationId xmlns:a16="http://schemas.microsoft.com/office/drawing/2014/main" id="{0000073F-7BA6-0F8D-F626-06A66B68FAB0}"/>
              </a:ext>
            </a:extLst>
          </xdr:cNvPr>
          <xdr:cNvSpPr txBox="1"/>
        </xdr:nvSpPr>
        <xdr:spPr>
          <a:xfrm>
            <a:off x="3434930" y="1093362"/>
            <a:ext cx="1387261" cy="448387"/>
          </a:xfrm>
          <a:prstGeom prst="rect">
            <a:avLst/>
          </a:prstGeom>
          <a:solidFill>
            <a:schemeClr val="accent4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2C1531E-F3B8-4906-B801-DE27B216929B}" type="TxLink">
              <a:rPr lang="en-US" sz="2800" b="1" i="0" u="none" strike="noStrike" cap="none" spc="50">
                <a:ln w="0"/>
                <a:solidFill>
                  <a:schemeClr val="bg1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ptos Narrow"/>
                <a:ea typeface="+mn-ea"/>
                <a:cs typeface="+mn-cs"/>
              </a:rPr>
              <a:pPr marL="0" indent="0"/>
              <a:t>4722</a:t>
            </a:fld>
            <a:endParaRPr lang="en-IN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6</xdr:col>
      <xdr:colOff>688189</xdr:colOff>
      <xdr:row>5</xdr:row>
      <xdr:rowOff>133424</xdr:rowOff>
    </xdr:from>
    <xdr:to>
      <xdr:col>7</xdr:col>
      <xdr:colOff>477521</xdr:colOff>
      <xdr:row>8</xdr:row>
      <xdr:rowOff>14810</xdr:rowOff>
    </xdr:to>
    <xdr:sp macro="" textlink="'bikestore store_wise_sales'!A9">
      <xdr:nvSpPr>
        <xdr:cNvPr id="25" name="TextBox 24">
          <a:extLst>
            <a:ext uri="{FF2B5EF4-FFF2-40B4-BE49-F238E27FC236}">
              <a16:creationId xmlns:a16="http://schemas.microsoft.com/office/drawing/2014/main" id="{92CBFA93-0AEF-DB4B-E741-0A26C4FAB0F9}"/>
            </a:ext>
          </a:extLst>
        </xdr:cNvPr>
        <xdr:cNvSpPr txBox="1"/>
      </xdr:nvSpPr>
      <xdr:spPr>
        <a:xfrm>
          <a:off x="6367629" y="1047824"/>
          <a:ext cx="825652" cy="430026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A4664D8-54DC-41BB-91B7-BC4A13BEDAF6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 algn="l"/>
            <a:t>3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478987</xdr:colOff>
      <xdr:row>5</xdr:row>
      <xdr:rowOff>150442</xdr:rowOff>
    </xdr:from>
    <xdr:to>
      <xdr:col>10</xdr:col>
      <xdr:colOff>555250</xdr:colOff>
      <xdr:row>8</xdr:row>
      <xdr:rowOff>96092</xdr:rowOff>
    </xdr:to>
    <xdr:sp macro="" textlink="'bikestore store_wise_sales'!M3">
      <xdr:nvSpPr>
        <xdr:cNvPr id="26" name="TextBox 25">
          <a:extLst>
            <a:ext uri="{FF2B5EF4-FFF2-40B4-BE49-F238E27FC236}">
              <a16:creationId xmlns:a16="http://schemas.microsoft.com/office/drawing/2014/main" id="{4E2AD016-851C-16C9-7CE8-25CB29FAEA17}"/>
            </a:ext>
          </a:extLst>
        </xdr:cNvPr>
        <xdr:cNvSpPr txBox="1"/>
      </xdr:nvSpPr>
      <xdr:spPr>
        <a:xfrm>
          <a:off x="8881307" y="1064842"/>
          <a:ext cx="980503" cy="49429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E48D4BE-56DC-45E8-AB58-2D5938AEED57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/>
            <a:t>10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57104</xdr:colOff>
      <xdr:row>5</xdr:row>
      <xdr:rowOff>105272</xdr:rowOff>
    </xdr:from>
    <xdr:to>
      <xdr:col>15</xdr:col>
      <xdr:colOff>129632</xdr:colOff>
      <xdr:row>8</xdr:row>
      <xdr:rowOff>13464</xdr:rowOff>
    </xdr:to>
    <xdr:sp macro="" textlink="'bikestore store_wise_sales'!E3">
      <xdr:nvSpPr>
        <xdr:cNvPr id="27" name="TextBox 26">
          <a:extLst>
            <a:ext uri="{FF2B5EF4-FFF2-40B4-BE49-F238E27FC236}">
              <a16:creationId xmlns:a16="http://schemas.microsoft.com/office/drawing/2014/main" id="{5EE338BD-4A44-8C5E-FE2D-5F1C19F1EA63}"/>
            </a:ext>
          </a:extLst>
        </xdr:cNvPr>
        <xdr:cNvSpPr txBox="1"/>
      </xdr:nvSpPr>
      <xdr:spPr>
        <a:xfrm>
          <a:off x="11192464" y="1019672"/>
          <a:ext cx="1291728" cy="456832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C37F20A-40A3-4ECA-859B-A1317F1A2FDE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/>
            <a:t>4761.06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121675</xdr:colOff>
      <xdr:row>5</xdr:row>
      <xdr:rowOff>133795</xdr:rowOff>
    </xdr:from>
    <xdr:to>
      <xdr:col>19</xdr:col>
      <xdr:colOff>121920</xdr:colOff>
      <xdr:row>8</xdr:row>
      <xdr:rowOff>23625</xdr:rowOff>
    </xdr:to>
    <xdr:sp macro="" textlink="'bikestore store_wise_sales'!K3">
      <xdr:nvSpPr>
        <xdr:cNvPr id="28" name="TextBox 27">
          <a:extLst>
            <a:ext uri="{FF2B5EF4-FFF2-40B4-BE49-F238E27FC236}">
              <a16:creationId xmlns:a16="http://schemas.microsoft.com/office/drawing/2014/main" id="{0BA67407-FFC0-9E17-A301-FAF72A8E32BA}"/>
            </a:ext>
          </a:extLst>
        </xdr:cNvPr>
        <xdr:cNvSpPr txBox="1"/>
      </xdr:nvSpPr>
      <xdr:spPr>
        <a:xfrm>
          <a:off x="13695435" y="1048195"/>
          <a:ext cx="1463285" cy="438470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171B40F-F7CE-42E9-92C3-3DBE154A4667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/>
            <a:t>0.89m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848054</xdr:colOff>
      <xdr:row>5</xdr:row>
      <xdr:rowOff>79322</xdr:rowOff>
    </xdr:from>
    <xdr:to>
      <xdr:col>21</xdr:col>
      <xdr:colOff>764212</xdr:colOff>
      <xdr:row>7</xdr:row>
      <xdr:rowOff>172720</xdr:rowOff>
    </xdr:to>
    <xdr:sp macro="" textlink="'bikestore store_wise_sales'!E16">
      <xdr:nvSpPr>
        <xdr:cNvPr id="29" name="TextBox 28">
          <a:extLst>
            <a:ext uri="{FF2B5EF4-FFF2-40B4-BE49-F238E27FC236}">
              <a16:creationId xmlns:a16="http://schemas.microsoft.com/office/drawing/2014/main" id="{1C0A0F62-5660-ECF8-C463-1D2A08945651}"/>
            </a:ext>
          </a:extLst>
        </xdr:cNvPr>
        <xdr:cNvSpPr txBox="1"/>
      </xdr:nvSpPr>
      <xdr:spPr>
        <a:xfrm>
          <a:off x="16860214" y="993722"/>
          <a:ext cx="891518" cy="459158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B66253C-3E4F-4741-9124-A04B4C129FE2}" type="TxLink">
            <a:rPr lang="en-US" sz="2800" b="1" i="0" u="none" strike="noStrike" cap="none" spc="50">
              <a:ln w="0"/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ptos Narrow"/>
              <a:ea typeface="+mn-ea"/>
              <a:cs typeface="+mn-cs"/>
            </a:rPr>
            <a:pPr marL="0" indent="0"/>
            <a:t>9</a:t>
          </a:fld>
          <a:endParaRPr lang="en-IN" sz="2800" b="1" i="0" u="none" strike="noStrike" cap="none" spc="50">
            <a:ln w="0"/>
            <a:solidFill>
              <a:schemeClr val="bg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474212</xdr:colOff>
      <xdr:row>29</xdr:row>
      <xdr:rowOff>16402</xdr:rowOff>
    </xdr:from>
    <xdr:to>
      <xdr:col>17</xdr:col>
      <xdr:colOff>538480</xdr:colOff>
      <xdr:row>43</xdr:row>
      <xdr:rowOff>132080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F898429-9CE1-45F4-A3DB-612D48A8C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71487</xdr:colOff>
      <xdr:row>10</xdr:row>
      <xdr:rowOff>150443</xdr:rowOff>
    </xdr:from>
    <xdr:to>
      <xdr:col>4</xdr:col>
      <xdr:colOff>731520</xdr:colOff>
      <xdr:row>30</xdr:row>
      <xdr:rowOff>162560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E6A9381-5923-49BA-B1E8-37EE86D88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772160</xdr:colOff>
      <xdr:row>10</xdr:row>
      <xdr:rowOff>121920</xdr:rowOff>
    </xdr:from>
    <xdr:to>
      <xdr:col>16</xdr:col>
      <xdr:colOff>355600</xdr:colOff>
      <xdr:row>27</xdr:row>
      <xdr:rowOff>81280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7F4F533-4C30-4E07-9EB0-2080C770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203444</xdr:colOff>
      <xdr:row>27</xdr:row>
      <xdr:rowOff>161733</xdr:rowOff>
    </xdr:from>
    <xdr:to>
      <xdr:col>22</xdr:col>
      <xdr:colOff>432595</xdr:colOff>
      <xdr:row>43</xdr:row>
      <xdr:rowOff>71120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1435666-D6BD-4E2E-AD9A-2465506A3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914400</xdr:colOff>
      <xdr:row>10</xdr:row>
      <xdr:rowOff>121920</xdr:rowOff>
    </xdr:from>
    <xdr:to>
      <xdr:col>9</xdr:col>
      <xdr:colOff>558800</xdr:colOff>
      <xdr:row>32</xdr:row>
      <xdr:rowOff>91440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239F138-3804-40F7-ACDB-3A1C50F29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509101</xdr:colOff>
      <xdr:row>10</xdr:row>
      <xdr:rowOff>104292</xdr:rowOff>
    </xdr:from>
    <xdr:to>
      <xdr:col>22</xdr:col>
      <xdr:colOff>548640</xdr:colOff>
      <xdr:row>26</xdr:row>
      <xdr:rowOff>123755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4E43C6ED-DB91-D0FA-B443-2F1065C97B8D}"/>
            </a:ext>
          </a:extLst>
        </xdr:cNvPr>
        <xdr:cNvGrpSpPr/>
      </xdr:nvGrpSpPr>
      <xdr:grpSpPr>
        <a:xfrm>
          <a:off x="13423687" y="2101258"/>
          <a:ext cx="4874298" cy="2962359"/>
          <a:chOff x="9857472" y="4764466"/>
          <a:chExt cx="4623151" cy="2642376"/>
        </a:xfrm>
      </xdr:grpSpPr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10E0A63E-3259-458D-A5A7-477EFE6D5B8C}"/>
              </a:ext>
            </a:extLst>
          </xdr:cNvPr>
          <xdr:cNvGraphicFramePr>
            <a:graphicFrameLocks/>
          </xdr:cNvGraphicFramePr>
        </xdr:nvGraphicFramePr>
        <xdr:xfrm>
          <a:off x="9857472" y="4764466"/>
          <a:ext cx="4623151" cy="26423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4E60D956-6144-EC7B-9D25-0B98546B5852}"/>
              </a:ext>
            </a:extLst>
          </xdr:cNvPr>
          <xdr:cNvSpPr txBox="1"/>
        </xdr:nvSpPr>
        <xdr:spPr>
          <a:xfrm>
            <a:off x="11654724" y="7121896"/>
            <a:ext cx="1138051" cy="188439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Top 3 Employees</a:t>
            </a:r>
            <a:endParaRPr lang="en-IN" sz="900" b="1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C7239BA0-2367-9CFC-EBF0-AF12AE80DA9F}"/>
              </a:ext>
            </a:extLst>
          </xdr:cNvPr>
          <xdr:cNvSpPr txBox="1"/>
        </xdr:nvSpPr>
        <xdr:spPr>
          <a:xfrm>
            <a:off x="13029458" y="7110350"/>
            <a:ext cx="826325" cy="199984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Others</a:t>
            </a:r>
            <a:endParaRPr lang="en-IN" sz="900" b="1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0.343</cdr:x>
      <cdr:y>0.89023</cdr:y>
    </cdr:from>
    <cdr:to>
      <cdr:x>0.80435</cdr:x>
      <cdr:y>0.9672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9F714093-1F30-6A7F-1101-0AD833C148C0}"/>
            </a:ext>
          </a:extLst>
        </cdr:cNvPr>
        <cdr:cNvGrpSpPr/>
      </cdr:nvGrpSpPr>
      <cdr:grpSpPr>
        <a:xfrm xmlns:a="http://schemas.openxmlformats.org/drawingml/2006/main">
          <a:off x="1295303" y="3135673"/>
          <a:ext cx="1742239" cy="271113"/>
          <a:chOff x="1307374" y="2352317"/>
          <a:chExt cx="1758510" cy="203396"/>
        </a:xfrm>
      </cdr:grpSpPr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ABA6C329-98F5-929F-AC49-537878B4504E}"/>
              </a:ext>
            </a:extLst>
          </cdr:cNvPr>
          <cdr:cNvSpPr txBox="1"/>
        </cdr:nvSpPr>
        <cdr:spPr>
          <a:xfrm xmlns:a="http://schemas.openxmlformats.org/drawingml/2006/main">
            <a:off x="1307374" y="2352317"/>
            <a:ext cx="897669" cy="20339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>
              <a:lumMod val="10000"/>
              <a:lumOff val="90000"/>
            </a:schemeClr>
          </a:solidFill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IN" sz="1000" b="1">
                <a:solidFill>
                  <a:schemeClr val="bg1">
                    <a:lumMod val="50000"/>
                  </a:schemeClr>
                </a:solidFill>
              </a:rPr>
              <a:t>Top 3 Brands</a:t>
            </a:r>
          </a:p>
        </cdr:txBody>
      </cdr:sp>
      <cdr:sp macro="" textlink="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2AAADDC6-0812-7184-89EE-8D3AFE3E1C53}"/>
              </a:ext>
            </a:extLst>
          </cdr:cNvPr>
          <cdr:cNvSpPr txBox="1"/>
        </cdr:nvSpPr>
        <cdr:spPr>
          <a:xfrm xmlns:a="http://schemas.openxmlformats.org/drawingml/2006/main">
            <a:off x="2485852" y="2361160"/>
            <a:ext cx="580032" cy="15475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tx2">
              <a:lumMod val="10000"/>
              <a:lumOff val="90000"/>
            </a:schemeClr>
          </a:solidFill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IN" sz="1000" b="1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Others</a:t>
            </a:r>
            <a:endParaRPr lang="en-IN" sz="900" b="1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</cdr:x>
      <cdr:y>0.90556</cdr:y>
    </cdr:from>
    <cdr:to>
      <cdr:x>0.665</cdr:x>
      <cdr:y>0.96667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2CE69D-4B46-5D71-0885-459F23932EE6}"/>
            </a:ext>
          </a:extLst>
        </cdr:cNvPr>
        <cdr:cNvSpPr txBox="1"/>
      </cdr:nvSpPr>
      <cdr:spPr>
        <a:xfrm xmlns:a="http://schemas.openxmlformats.org/drawingml/2006/main">
          <a:off x="1874520" y="2484120"/>
          <a:ext cx="1165860" cy="167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" xr16:uid="{2CDEDC65-DE07-440B-973E-6A99E9D8824E}" autoFormatId="16" applyNumberFormats="0" applyBorderFormats="0" applyFontFormats="0" applyPatternFormats="0" applyAlignmentFormats="0" applyWidthHeightFormats="0">
  <queryTableRefresh nextId="5">
    <queryTableFields count="4">
      <queryTableField id="1" name="brand_name" tableColumnId="1"/>
      <queryTableField id="2" name="total_orders" tableColumnId="2"/>
      <queryTableField id="3" name="total_sales" tableColumnId="3"/>
      <queryTableField id="4" name="total_disc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A3024A2C-B1E5-43C2-A78B-7F91E720F3B5}" autoFormatId="16" applyNumberFormats="0" applyBorderFormats="0" applyFontFormats="0" applyPatternFormats="0" applyAlignmentFormats="0" applyWidthHeightFormats="0">
  <queryTableRefresh nextId="6">
    <queryTableFields count="5">
      <queryTableField id="1" name="staff_id" tableColumnId="1"/>
      <queryTableField id="2" name="full_name" tableColumnId="2"/>
      <queryTableField id="3" name="total_orders" tableColumnId="3"/>
      <queryTableField id="4" name="total_sales" tableColumnId="4"/>
      <queryTableField id="5" name="per_sale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8" xr16:uid="{9503DA8D-3261-4BA7-9DFB-33F15B01BD07}" autoFormatId="16" applyNumberFormats="0" applyBorderFormats="0" applyFontFormats="0" applyPatternFormats="0" applyAlignmentFormats="0" applyWidthHeightFormats="0">
  <queryTableRefresh nextId="3">
    <queryTableFields count="2">
      <queryTableField id="1" name="store_name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C6F9374-6272-4E92-8E09-44A3B04A280D}" autoFormatId="16" applyNumberFormats="0" applyBorderFormats="0" applyFontFormats="0" applyPatternFormats="0" applyAlignmentFormats="0" applyWidthHeightFormats="0">
  <queryTableRefresh nextId="2">
    <queryTableFields count="1">
      <queryTableField id="1" name="count(store_id)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AA3D01CE-D1DF-4603-B488-8569E3F2713A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total_sale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C319167C-F408-44C7-B00C-3ADC2F7C5165}" autoFormatId="16" applyNumberFormats="0" applyBorderFormats="0" applyFontFormats="0" applyPatternFormats="0" applyAlignmentFormats="0" applyWidthHeightFormats="0">
  <queryTableRefresh nextId="2">
    <queryTableFields count="1">
      <queryTableField id="1" name="AOV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F3F5BCCB-87B2-4CA1-A99E-903FF41B5556}" autoFormatId="16" applyNumberFormats="0" applyBorderFormats="0" applyFontFormats="0" applyPatternFormats="0" applyAlignmentFormats="0" applyWidthHeightFormats="0">
  <queryTableRefresh nextId="2">
    <queryTableFields count="1">
      <queryTableField id="1" name="total_sales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96F4ED46-2F2A-424A-96B9-00F791A32A08}" autoFormatId="16" applyNumberFormats="0" applyBorderFormats="0" applyFontFormats="0" applyPatternFormats="0" applyAlignmentFormats="0" applyWidthHeightFormats="0">
  <queryTableRefresh nextId="2">
    <queryTableFields count="1">
      <queryTableField id="1" name="count(order_id)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00A256CE-E380-4088-9AA2-CEC9B8331845}" autoFormatId="16" applyNumberFormats="0" applyBorderFormats="0" applyFontFormats="0" applyPatternFormats="0" applyAlignmentFormats="0" applyWidthHeightFormats="0">
  <queryTableRefresh nextId="2">
    <queryTableFields count="1">
      <queryTableField id="1" name="sum(list_price*quantity*discount)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1C4BA1AA-15D5-462C-8AC5-96E99478A5AD}" autoFormatId="16" applyNumberFormats="0" applyBorderFormats="0" applyFontFormats="0" applyPatternFormats="0" applyAlignmentFormats="0" applyWidthHeightFormats="0">
  <queryTableRefresh nextId="3">
    <queryTableFields count="2">
      <queryTableField id="1" name="sum(total_sales)" tableColumnId="1"/>
      <queryTableField id="2" name="cat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C657BCA4-E004-46E9-A167-57164A6889D8}" autoFormatId="16" applyNumberFormats="0" applyBorderFormats="0" applyFontFormats="0" applyPatternFormats="0" applyAlignmentFormats="0" applyWidthHeightFormats="0">
  <queryTableRefresh nextId="3">
    <queryTableFields count="2">
      <queryTableField id="1" name="sum(total_sales)" tableColumnId="1"/>
      <queryTableField id="2" name="ca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2695F0E-AA61-4157-BD35-8B5512CE4CB2}" autoFormatId="16" applyNumberFormats="0" applyBorderFormats="0" applyFontFormats="0" applyPatternFormats="0" applyAlignmentFormats="0" applyWidthHeightFormats="0">
  <queryTableRefresh nextId="3">
    <queryTableFields count="2">
      <queryTableField id="1" name="category_name" tableColumnId="1"/>
      <queryTableField id="2" name="sale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778FBAE-A8B0-4584-8701-CDBD0FBB5A79}" autoFormatId="16" applyNumberFormats="0" applyBorderFormats="0" applyFontFormats="0" applyPatternFormats="0" applyAlignmentFormats="0" applyWidthHeightFormats="0">
  <queryTableRefresh nextId="2">
    <queryTableFields count="1">
      <queryTableField id="1" name="count(staff_id)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627816F2-7820-4DBB-84B8-DD5ABD7CC6F0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product_name" tableColumnId="2"/>
      <queryTableField id="3" name="total_orders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3" xr16:uid="{308AF0A3-A5EE-4E6D-A893-BC544BD097BB}" autoFormatId="16" applyNumberFormats="0" applyBorderFormats="0" applyFontFormats="0" applyPatternFormats="0" applyAlignmentFormats="0" applyWidthHeightFormats="0">
  <queryTableRefresh nextId="2">
    <queryTableFields count="1">
      <queryTableField id="1" name="count(brand_id)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6815F9-ACF3-4E1E-A11E-C0F1D7E71A64}" name="bikestore_brand_table" displayName="bikestore_brand_table" ref="A34:D43" tableType="queryTable" totalsRowShown="0" headerRowDxfId="1" dataDxfId="0">
  <autoFilter ref="A34:D43" xr:uid="{8E6815F9-ACF3-4E1E-A11E-C0F1D7E71A64}">
    <filterColumn colId="0" hiddenButton="1"/>
    <filterColumn colId="1" hiddenButton="1"/>
    <filterColumn colId="2" hiddenButton="1"/>
    <filterColumn colId="3" hiddenButton="1"/>
  </autoFilter>
  <tableColumns count="4">
    <tableColumn id="1" xr3:uid="{353DECCE-3D90-4937-9F01-CA2FDBF07256}" uniqueName="1" name="brand_name" queryTableFieldId="1" dataDxfId="5"/>
    <tableColumn id="2" xr3:uid="{B11FE676-35DD-44E4-B3AC-98A49DCA961E}" uniqueName="2" name="total_orders" queryTableFieldId="2" dataDxfId="4"/>
    <tableColumn id="3" xr3:uid="{7F5F25D9-48B9-49B2-A9DA-7279214C07C2}" uniqueName="3" name="total_sales" queryTableFieldId="3" dataDxfId="3"/>
    <tableColumn id="4" xr3:uid="{EF5C236C-2D88-44FB-A637-D017F6B079F3}" uniqueName="4" name="total_discount" queryTableFieldId="4" dataDxfId="2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342783-6390-43ED-83F7-0D3E3C9C4670}" name="bikestore_percentage_sales" displayName="bikestore_percentage_sales" ref="F37:J43" tableType="queryTable" totalsRowShown="0" headerRowDxfId="7" dataDxfId="6">
  <autoFilter ref="F37:J43" xr:uid="{9E342783-6390-43ED-83F7-0D3E3C9C467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8056D9C-FDB3-4054-ACDE-C93C925184A2}" uniqueName="1" name="staff_id" queryTableFieldId="1" dataDxfId="12"/>
    <tableColumn id="2" xr3:uid="{68C2ED79-B223-401F-BF8C-963A6FC403A0}" uniqueName="2" name="full_name" queryTableFieldId="2" dataDxfId="11"/>
    <tableColumn id="3" xr3:uid="{8A021B27-000D-486F-AD84-676E2629DF2E}" uniqueName="3" name="total_orders" queryTableFieldId="3" dataDxfId="10"/>
    <tableColumn id="4" xr3:uid="{A083362E-CA5E-4719-8C86-E26665A2CF33}" uniqueName="4" name="total_sales" queryTableFieldId="4" dataDxfId="9"/>
    <tableColumn id="5" xr3:uid="{A2223CAC-CC8E-400D-835F-D6FF27EAF9D0}" uniqueName="5" name="per_sales" queryTableFieldId="5" dataDxfId="8" dataCellStyle="Comma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986309-AE97-4EA5-A3FF-27E464AA3B09}" name="bikestore_store_wise_sales" displayName="bikestore_store_wise_sales" ref="A1:B4" tableType="queryTable" totalsRowShown="0">
  <autoFilter ref="A1:B4" xr:uid="{30986309-AE97-4EA5-A3FF-27E464AA3B09}"/>
  <tableColumns count="2">
    <tableColumn id="1" xr3:uid="{DA3EC979-7B1B-48F3-916F-02BCFEA55D41}" uniqueName="1" name="store_name" queryTableFieldId="1" dataDxfId="28"/>
    <tableColumn id="2" xr3:uid="{C8574F8E-7075-4662-95DD-934EF2901162}" uniqueName="2" name="total_sales" queryTableFieldId="2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8A69D-A9E5-4D80-AD22-61C54C185BBF}" name="bikestore_no__of_stores" displayName="bikestore_no__of_stores" ref="A8:A9" tableType="queryTable" totalsRowShown="0">
  <autoFilter ref="A8:A9" xr:uid="{E0F8A69D-A9E5-4D80-AD22-61C54C185BBF}"/>
  <tableColumns count="1">
    <tableColumn id="1" xr3:uid="{570721B1-C8B0-41E4-94DD-ADC313131FAD}" uniqueName="1" name="count(store_id)" queryTableField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D56377-6FF5-4EFB-864E-D5145314C17E}" name="bikestore_state_wise_sales" displayName="bikestore_state_wise_sales" ref="C7:D10" tableType="queryTable" totalsRowShown="0">
  <autoFilter ref="C7:D10" xr:uid="{94D56377-6FF5-4EFB-864E-D5145314C17E}"/>
  <tableColumns count="2">
    <tableColumn id="1" xr3:uid="{32B58F4F-1C48-4A00-828D-AB5504065665}" uniqueName="1" name="state" queryTableFieldId="1" dataDxfId="26"/>
    <tableColumn id="2" xr3:uid="{CC07D943-290C-43A6-9BFE-156C160879A0}" uniqueName="2" name="total_sales" queryTableFieldId="2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2A5B51-CEDC-457E-8463-94336AD24861}" name="bikestore_avg_order_value" displayName="bikestore_avg_order_value" ref="E2:E3" tableType="queryTable" totalsRowShown="0" dataDxfId="24">
  <autoFilter ref="E2:E3" xr:uid="{382A5B51-CEDC-457E-8463-94336AD24861}"/>
  <tableColumns count="1">
    <tableColumn id="1" xr3:uid="{FA0AE640-0AEA-481F-93C6-705E1548EF93}" uniqueName="1" name="AOV" queryTableFieldId="1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40D061-9EBC-440F-81E1-FE89BC0D1DBE}" name="bikestore_total_sales" displayName="bikestore_total_sales" ref="G2:G3" tableType="queryTable" totalsRowShown="0">
  <autoFilter ref="G2:G3" xr:uid="{1340D061-9EBC-440F-81E1-FE89BC0D1DBE}"/>
  <tableColumns count="1">
    <tableColumn id="1" xr3:uid="{177AF71F-3E25-46D8-AB57-AEB0BF888D8D}" uniqueName="1" name="total_sales" queryTableFieldId="1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25DDD-0481-43FD-B275-376BF90BF5DE}" name="bikestore_total_orders" displayName="bikestore_total_orders" ref="I2:I3" tableType="queryTable" totalsRowShown="0">
  <autoFilter ref="I2:I3" xr:uid="{11525DDD-0481-43FD-B275-376BF90BF5DE}"/>
  <tableColumns count="1">
    <tableColumn id="1" xr3:uid="{916E62F7-B637-4DCF-ABC2-E5A63CA03FB1}" uniqueName="1" name="count(order_id)" queryTableField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BBC570-A339-4007-A724-A8796366141B}" name="bikestore_total_discount" displayName="bikestore_total_discount" ref="K2:K3" tableType="queryTable" totalsRowShown="0">
  <autoFilter ref="K2:K3" xr:uid="{46BBC570-A339-4007-A724-A8796366141B}"/>
  <tableColumns count="1">
    <tableColumn id="1" xr3:uid="{A57DCF3D-3DD6-4781-A8C2-C2DA8C1C0EAA}" uniqueName="1" name="sum(list_price*quantity*discount)" queryTableFieldId="1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A9BA4F-5DAE-4F1B-9300-81E2D66FF3BE}" name="bikestore_top3_employee_vs_others" displayName="bikestore_top3_employee_vs_others" ref="A12:B14" tableType="queryTable" totalsRowShown="0">
  <autoFilter ref="A12:B14" xr:uid="{60A9BA4F-5DAE-4F1B-9300-81E2D66FF3BE}"/>
  <tableColumns count="2">
    <tableColumn id="1" xr3:uid="{F49C6042-B57F-4E42-B8AA-A85252E21EDA}" uniqueName="1" name="sum(total_sales)" queryTableFieldId="1" dataDxfId="20"/>
    <tableColumn id="2" xr3:uid="{6DF09774-C85C-494B-9391-942F932A749A}" uniqueName="2" name="cat" queryTableFieldId="2" dataDxfId="1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8F2648-F269-4A44-BD49-A42286202880}" name="bikestore_top3_brand_vs_other" displayName="bikestore_top3_brand_vs_other" ref="A16:B18" tableType="queryTable" totalsRowShown="0">
  <autoFilter ref="A16:B18" xr:uid="{1B8F2648-F269-4A44-BD49-A42286202880}"/>
  <tableColumns count="2">
    <tableColumn id="1" xr3:uid="{F1B5C8CE-E987-413E-B526-F53C1871B662}" uniqueName="1" name="sum(total_sales)" queryTableFieldId="1" dataDxfId="18"/>
    <tableColumn id="2" xr3:uid="{63AD11A2-E751-4E8C-B184-98494E44C6D8}" uniqueName="2" name="cat" queryTableFieldId="2" dataDxf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CACAF0-5192-4B17-B1FF-97C9D4F7DA46}" name="bikestore_category_wise_sales" displayName="bikestore_category_wise_sales" ref="F6:G13" tableType="queryTable" totalsRowShown="0">
  <autoFilter ref="F6:G13" xr:uid="{78CACAF0-5192-4B17-B1FF-97C9D4F7DA46}"/>
  <tableColumns count="2">
    <tableColumn id="1" xr3:uid="{5905B47B-1222-48AD-BC8D-00BE2A279AC5}" uniqueName="1" name="category_name" queryTableFieldId="1" dataDxfId="16"/>
    <tableColumn id="2" xr3:uid="{115A9663-8968-4FA4-9144-D66000BD0019}" uniqueName="2" name="sales" queryTableFieldId="2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EEAFBA-A271-4DB2-A81C-3F8C34BD7502}" name="bikestore_no_of_employees" displayName="bikestore_no_of_employees" ref="M2:M3" tableType="queryTable" totalsRowShown="0">
  <autoFilter ref="M2:M3" xr:uid="{EBEEAFBA-A271-4DB2-A81C-3F8C34BD7502}"/>
  <tableColumns count="1">
    <tableColumn id="1" xr3:uid="{6081B303-02DD-41D3-91A0-27B10A81B3D6}" uniqueName="1" name="count(staff_id)" queryTableFieldId="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100DB-D8D3-41D6-B85C-B85A95522ABA}" name="bikestore_top_5_selling_products" displayName="bikestore_top_5_selling_products" ref="I6:K11" tableType="queryTable" totalsRowShown="0">
  <autoFilter ref="I6:K11" xr:uid="{9B9100DB-D8D3-41D6-B85C-B85A95522ABA}"/>
  <tableColumns count="3">
    <tableColumn id="1" xr3:uid="{FFCA035C-98F8-40B1-857C-77FB9693C9EC}" uniqueName="1" name="product_id" queryTableFieldId="1"/>
    <tableColumn id="2" xr3:uid="{1570971D-2DC5-4388-ACDF-BDDCC35B6FA0}" uniqueName="2" name="product_name" queryTableFieldId="2" dataDxfId="14"/>
    <tableColumn id="3" xr3:uid="{391BF91F-8680-4677-A8A3-69BF67A5F491}" uniqueName="3" name="total_orders" queryTableFieldId="3" dataDxfId="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6414EC-B253-4237-B91C-687D6E94547D}" name="bikestore_total_brands" displayName="bikestore_total_brands" ref="E15:E16" tableType="queryTable" totalsRowShown="0">
  <autoFilter ref="E15:E16" xr:uid="{6C6414EC-B253-4237-B91C-687D6E94547D}"/>
  <tableColumns count="1">
    <tableColumn id="1" xr3:uid="{C6B4358B-0656-4546-A398-954A06225EC8}" uniqueName="1" name="count(brand_id)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D35B-33D2-4E43-B0AA-C67DAB361A08}">
  <dimension ref="A1:W44"/>
  <sheetViews>
    <sheetView showGridLines="0" tabSelected="1" zoomScale="58" workbookViewId="0">
      <selection activeCell="Q12" sqref="Q12"/>
    </sheetView>
  </sheetViews>
  <sheetFormatPr defaultColWidth="0" defaultRowHeight="18" zeroHeight="1" x14ac:dyDescent="0.35"/>
  <cols>
    <col min="1" max="1" width="14.21875" style="6" customWidth="1"/>
    <col min="2" max="2" width="13.88671875" style="6" bestFit="1" customWidth="1"/>
    <col min="3" max="3" width="13.77734375" style="6" bestFit="1" customWidth="1"/>
    <col min="4" max="4" width="12.6640625" style="6" bestFit="1" customWidth="1"/>
    <col min="5" max="5" width="15.77734375" style="4" bestFit="1" customWidth="1"/>
    <col min="6" max="6" width="12.33203125" style="4" customWidth="1"/>
    <col min="7" max="7" width="15.109375" style="4" customWidth="1"/>
    <col min="8" max="8" width="12.44140625" style="4" customWidth="1"/>
    <col min="9" max="9" width="12.109375" style="4" customWidth="1"/>
    <col min="10" max="10" width="13.21875" style="4" customWidth="1"/>
    <col min="11" max="17" width="8.88671875" style="4" customWidth="1"/>
    <col min="18" max="18" width="9.88671875" style="4" customWidth="1"/>
    <col min="19" max="19" width="11.33203125" style="8" customWidth="1"/>
    <col min="20" max="21" width="14.21875" style="8" customWidth="1"/>
    <col min="22" max="22" width="12.109375" style="8" customWidth="1"/>
    <col min="23" max="23" width="10.109375" style="8" customWidth="1"/>
    <col min="24" max="24" width="8.88671875" style="8" hidden="1" customWidth="1"/>
    <col min="25" max="16384" width="8.88671875" style="8" hidden="1"/>
  </cols>
  <sheetData>
    <row r="1" s="4" customFormat="1" ht="26.4" customHeight="1" x14ac:dyDescent="0.3"/>
    <row r="2" s="4" customFormat="1" ht="14.4" x14ac:dyDescent="0.3"/>
    <row r="3" s="4" customFormat="1" ht="14.4" x14ac:dyDescent="0.3"/>
    <row r="4" s="4" customFormat="1" ht="14.4" x14ac:dyDescent="0.3"/>
    <row r="5" s="4" customFormat="1" ht="14.4" x14ac:dyDescent="0.3"/>
    <row r="6" s="4" customFormat="1" ht="14.4" x14ac:dyDescent="0.3"/>
    <row r="7" s="4" customFormat="1" ht="14.4" x14ac:dyDescent="0.3"/>
    <row r="8" s="4" customFormat="1" ht="14.4" x14ac:dyDescent="0.3"/>
    <row r="9" s="4" customFormat="1" ht="14.4" x14ac:dyDescent="0.3"/>
    <row r="10" s="4" customFormat="1" ht="14.4" x14ac:dyDescent="0.3"/>
    <row r="11" s="4" customFormat="1" ht="14.4" x14ac:dyDescent="0.3"/>
    <row r="12" s="4" customFormat="1" ht="14.4" x14ac:dyDescent="0.3"/>
    <row r="13" s="4" customFormat="1" ht="14.4" x14ac:dyDescent="0.3"/>
    <row r="14" s="4" customFormat="1" ht="14.4" x14ac:dyDescent="0.3"/>
    <row r="15" s="4" customFormat="1" ht="14.4" x14ac:dyDescent="0.3"/>
    <row r="16" s="4" customFormat="1" ht="14.4" x14ac:dyDescent="0.3"/>
    <row r="17" spans="1:23" s="4" customFormat="1" ht="14.4" x14ac:dyDescent="0.3"/>
    <row r="18" spans="1:23" s="4" customFormat="1" ht="14.4" x14ac:dyDescent="0.3"/>
    <row r="19" spans="1:23" s="4" customFormat="1" ht="14.4" x14ac:dyDescent="0.3"/>
    <row r="20" spans="1:23" s="4" customFormat="1" ht="14.4" x14ac:dyDescent="0.3"/>
    <row r="21" spans="1:23" s="4" customFormat="1" ht="14.4" x14ac:dyDescent="0.3"/>
    <row r="22" spans="1:23" s="4" customFormat="1" ht="14.4" x14ac:dyDescent="0.3"/>
    <row r="23" spans="1:23" s="4" customFormat="1" ht="14.4" x14ac:dyDescent="0.3"/>
    <row r="24" spans="1:23" s="4" customFormat="1" ht="14.4" x14ac:dyDescent="0.3"/>
    <row r="25" spans="1:23" s="4" customFormat="1" ht="14.4" x14ac:dyDescent="0.3"/>
    <row r="26" spans="1:23" s="4" customFormat="1" ht="14.4" x14ac:dyDescent="0.3"/>
    <row r="27" spans="1:23" s="4" customFormat="1" ht="14.4" x14ac:dyDescent="0.3"/>
    <row r="28" spans="1:23" s="4" customFormat="1" ht="14.4" x14ac:dyDescent="0.3"/>
    <row r="29" spans="1:23" s="4" customFormat="1" ht="18" customHeight="1" x14ac:dyDescent="0.3"/>
    <row r="30" spans="1:23" ht="16.8" customHeight="1" x14ac:dyDescent="0.35">
      <c r="A30" s="4"/>
      <c r="B30" s="4"/>
      <c r="C30" s="4"/>
      <c r="D30" s="4"/>
    </row>
    <row r="31" spans="1:23" s="6" customFormat="1" ht="15.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/>
      <c r="T31" s="9"/>
      <c r="U31" s="9"/>
      <c r="V31" s="9"/>
      <c r="W31" s="9"/>
    </row>
    <row r="32" spans="1:23" s="6" customFormat="1" ht="15.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s="6" customFormat="1" ht="15.6" x14ac:dyDescent="0.3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s="6" customFormat="1" ht="21.6" customHeight="1" x14ac:dyDescent="0.35">
      <c r="A34" s="9" t="s">
        <v>20</v>
      </c>
      <c r="B34" s="9" t="s">
        <v>14</v>
      </c>
      <c r="C34" s="9" t="s">
        <v>2</v>
      </c>
      <c r="D34" s="9" t="s">
        <v>21</v>
      </c>
      <c r="E34" s="5"/>
      <c r="F34" s="8"/>
      <c r="G34" s="8"/>
      <c r="H34" s="8"/>
      <c r="I34" s="8"/>
      <c r="J34" s="8"/>
      <c r="K34" s="4"/>
      <c r="L34" s="4"/>
      <c r="M34" s="4"/>
      <c r="N34" s="4"/>
      <c r="O34" s="4"/>
      <c r="P34" s="4"/>
      <c r="Q34" s="4"/>
      <c r="R34" s="4"/>
      <c r="S34" s="8"/>
      <c r="T34" s="8"/>
      <c r="U34" s="8"/>
      <c r="V34" s="8"/>
      <c r="W34" s="8"/>
    </row>
    <row r="35" spans="1:23" s="6" customFormat="1" ht="19.2" customHeight="1" x14ac:dyDescent="0.3">
      <c r="A35" s="10" t="s">
        <v>22</v>
      </c>
      <c r="B35" s="9">
        <v>1729</v>
      </c>
      <c r="C35" s="11">
        <v>1205320.8196</v>
      </c>
      <c r="D35" s="11">
        <v>138822.97039999999</v>
      </c>
      <c r="E35" s="5"/>
      <c r="K35" s="4"/>
      <c r="L35" s="4"/>
      <c r="M35" s="4"/>
      <c r="N35" s="4"/>
      <c r="O35" s="4"/>
      <c r="P35" s="4"/>
      <c r="Q35" s="4"/>
      <c r="R35" s="4"/>
    </row>
    <row r="36" spans="1:23" s="6" customFormat="1" ht="19.2" customHeight="1" x14ac:dyDescent="0.3">
      <c r="A36" s="10" t="s">
        <v>23</v>
      </c>
      <c r="B36" s="9">
        <v>1235</v>
      </c>
      <c r="C36" s="11">
        <v>4602754.3509</v>
      </c>
      <c r="D36" s="11">
        <v>526627.25910000002</v>
      </c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23" s="6" customFormat="1" ht="16.8" customHeight="1" x14ac:dyDescent="0.3">
      <c r="A37" s="10" t="s">
        <v>24</v>
      </c>
      <c r="B37" s="9">
        <v>605</v>
      </c>
      <c r="C37" s="11">
        <v>949507.06330000004</v>
      </c>
      <c r="D37" s="11">
        <v>113628.7567</v>
      </c>
      <c r="E37" s="5"/>
      <c r="F37" s="7" t="s">
        <v>46</v>
      </c>
      <c r="G37" s="7" t="s">
        <v>47</v>
      </c>
      <c r="H37" s="7" t="s">
        <v>14</v>
      </c>
      <c r="I37" s="7" t="s">
        <v>2</v>
      </c>
      <c r="J37" s="7" t="s">
        <v>48</v>
      </c>
      <c r="K37" s="4"/>
      <c r="L37" s="4"/>
      <c r="M37" s="4"/>
      <c r="N37" s="4"/>
      <c r="O37" s="4"/>
      <c r="P37" s="4"/>
      <c r="Q37" s="4"/>
      <c r="R37" s="4"/>
    </row>
    <row r="38" spans="1:23" s="6" customFormat="1" ht="17.399999999999999" customHeight="1" x14ac:dyDescent="0.3">
      <c r="A38" s="10" t="s">
        <v>25</v>
      </c>
      <c r="B38" s="9">
        <v>77</v>
      </c>
      <c r="C38" s="11">
        <v>78898.948000000004</v>
      </c>
      <c r="D38" s="11">
        <v>9599.8719999999994</v>
      </c>
      <c r="E38" s="5"/>
      <c r="F38" s="7">
        <v>3</v>
      </c>
      <c r="G38" s="7" t="s">
        <v>49</v>
      </c>
      <c r="H38" s="7">
        <v>184</v>
      </c>
      <c r="I38" s="13">
        <v>853287.35889999999</v>
      </c>
      <c r="J38" s="12">
        <v>11.097339369327001</v>
      </c>
      <c r="K38" s="4"/>
      <c r="L38" s="4"/>
      <c r="M38" s="4"/>
      <c r="N38" s="4"/>
      <c r="O38" s="4"/>
      <c r="P38" s="4"/>
      <c r="Q38" s="4"/>
      <c r="R38" s="4"/>
    </row>
    <row r="39" spans="1:23" s="6" customFormat="1" ht="17.399999999999999" customHeight="1" x14ac:dyDescent="0.3">
      <c r="A39" s="10" t="s">
        <v>26</v>
      </c>
      <c r="B39" s="9">
        <v>258</v>
      </c>
      <c r="C39" s="11">
        <v>149476.34</v>
      </c>
      <c r="D39" s="11">
        <v>16687.66</v>
      </c>
      <c r="E39" s="5"/>
      <c r="F39" s="7">
        <v>8</v>
      </c>
      <c r="G39" s="7" t="s">
        <v>50</v>
      </c>
      <c r="H39" s="7">
        <v>88</v>
      </c>
      <c r="I39" s="13">
        <v>463918.30459999997</v>
      </c>
      <c r="J39" s="12">
        <v>6.0334409177539996</v>
      </c>
      <c r="K39" s="4"/>
      <c r="L39" s="4"/>
      <c r="M39" s="4"/>
      <c r="N39" s="4"/>
      <c r="O39" s="4"/>
      <c r="P39" s="4"/>
      <c r="Q39" s="4"/>
      <c r="R39" s="4"/>
      <c r="S39" s="9"/>
      <c r="T39" s="9"/>
      <c r="U39" s="9"/>
      <c r="V39" s="9"/>
      <c r="W39" s="9"/>
    </row>
    <row r="40" spans="1:23" x14ac:dyDescent="0.35">
      <c r="A40" s="10" t="s">
        <v>27</v>
      </c>
      <c r="B40" s="9">
        <v>97</v>
      </c>
      <c r="C40" s="11">
        <v>171459.07569999999</v>
      </c>
      <c r="D40" s="11">
        <v>22339.634300000002</v>
      </c>
      <c r="E40" s="5"/>
      <c r="F40" s="7">
        <v>9</v>
      </c>
      <c r="G40" s="7" t="s">
        <v>51</v>
      </c>
      <c r="H40" s="7">
        <v>86</v>
      </c>
      <c r="I40" s="13">
        <v>403623.93900000001</v>
      </c>
      <c r="J40" s="12">
        <v>5.2492888614239996</v>
      </c>
    </row>
    <row r="41" spans="1:23" s="6" customFormat="1" ht="19.8" customHeight="1" x14ac:dyDescent="0.3">
      <c r="A41" s="10" t="s">
        <v>28</v>
      </c>
      <c r="B41" s="9">
        <v>220</v>
      </c>
      <c r="C41" s="11">
        <v>185384.55369999999</v>
      </c>
      <c r="D41" s="11">
        <v>21712.136299999998</v>
      </c>
      <c r="E41" s="5"/>
      <c r="F41" s="7">
        <v>6</v>
      </c>
      <c r="G41" s="7" t="s">
        <v>52</v>
      </c>
      <c r="H41" s="7">
        <v>553</v>
      </c>
      <c r="I41" s="13">
        <v>2624120.6529999999</v>
      </c>
      <c r="J41" s="12">
        <v>34.127726291342</v>
      </c>
      <c r="K41" s="4"/>
      <c r="L41" s="4"/>
      <c r="M41" s="4"/>
      <c r="N41" s="4"/>
      <c r="O41" s="4"/>
      <c r="P41" s="4"/>
      <c r="Q41" s="4"/>
      <c r="R41" s="4"/>
    </row>
    <row r="42" spans="1:23" s="6" customFormat="1" ht="18.600000000000001" customHeight="1" x14ac:dyDescent="0.3">
      <c r="A42" s="10" t="s">
        <v>29</v>
      </c>
      <c r="B42" s="9">
        <v>485</v>
      </c>
      <c r="C42" s="11">
        <v>341994.92749999999</v>
      </c>
      <c r="D42" s="11">
        <v>39924.762499999997</v>
      </c>
      <c r="E42" s="5"/>
      <c r="F42" s="7">
        <v>2</v>
      </c>
      <c r="G42" s="7" t="s">
        <v>53</v>
      </c>
      <c r="H42" s="7">
        <v>164</v>
      </c>
      <c r="I42" s="13">
        <v>752535.67760000005</v>
      </c>
      <c r="J42" s="12">
        <v>9.7870239313279992</v>
      </c>
      <c r="K42" s="4"/>
      <c r="L42" s="4"/>
      <c r="M42" s="4"/>
      <c r="N42" s="4"/>
      <c r="O42" s="4"/>
      <c r="P42" s="4"/>
      <c r="Q42" s="4"/>
      <c r="R42" s="4"/>
    </row>
    <row r="43" spans="1:23" s="6" customFormat="1" ht="21" customHeight="1" x14ac:dyDescent="0.3">
      <c r="A43" s="10" t="s">
        <v>30</v>
      </c>
      <c r="B43" s="9">
        <v>16</v>
      </c>
      <c r="C43" s="11">
        <v>4320.4789000000001</v>
      </c>
      <c r="D43" s="11">
        <v>529.27110000000005</v>
      </c>
      <c r="E43" s="5"/>
      <c r="F43" s="7">
        <v>7</v>
      </c>
      <c r="G43" s="7" t="s">
        <v>54</v>
      </c>
      <c r="H43" s="7">
        <v>540</v>
      </c>
      <c r="I43" s="13">
        <v>2591630.6244999999</v>
      </c>
      <c r="J43" s="12">
        <v>33.705180628824998</v>
      </c>
      <c r="K43" s="4"/>
      <c r="L43" s="4"/>
      <c r="M43" s="4"/>
      <c r="N43" s="4"/>
      <c r="O43" s="4"/>
      <c r="P43" s="4"/>
      <c r="Q43" s="4"/>
      <c r="R43" s="4"/>
    </row>
    <row r="44" spans="1:23" ht="51" customHeight="1" x14ac:dyDescent="0.35">
      <c r="A44" s="8"/>
      <c r="B44" s="8"/>
      <c r="C44" s="8"/>
      <c r="D44" s="8"/>
      <c r="E44" s="5"/>
      <c r="F44" s="6"/>
      <c r="G44" s="6"/>
      <c r="H44" s="6"/>
      <c r="I44" s="6"/>
      <c r="J44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C902-F606-478F-85C0-9AB1E05285E3}">
  <dimension ref="A1:M18"/>
  <sheetViews>
    <sheetView workbookViewId="0">
      <selection activeCell="E15" sqref="E15:E16"/>
    </sheetView>
  </sheetViews>
  <sheetFormatPr defaultRowHeight="14.4" x14ac:dyDescent="0.3"/>
  <cols>
    <col min="1" max="1" width="14.33203125" bestFit="1" customWidth="1"/>
    <col min="2" max="2" width="12.21875" bestFit="1" customWidth="1"/>
    <col min="5" max="5" width="14.6640625" bestFit="1" customWidth="1"/>
    <col min="6" max="6" width="14.88671875" customWidth="1"/>
    <col min="7" max="7" width="13.21875" customWidth="1"/>
    <col min="9" max="9" width="15.109375" customWidth="1"/>
    <col min="11" max="11" width="15.33203125" customWidth="1"/>
  </cols>
  <sheetData>
    <row r="1" spans="1:13" x14ac:dyDescent="0.3">
      <c r="A1" t="s">
        <v>8</v>
      </c>
      <c r="B1" t="s">
        <v>2</v>
      </c>
    </row>
    <row r="2" spans="1:13" x14ac:dyDescent="0.3">
      <c r="A2" s="1" t="s">
        <v>9</v>
      </c>
      <c r="B2" s="2">
        <v>1605823.0364999999</v>
      </c>
      <c r="E2" t="s">
        <v>3</v>
      </c>
      <c r="G2" t="s">
        <v>2</v>
      </c>
      <c r="I2" t="s">
        <v>1</v>
      </c>
      <c r="K2" t="s">
        <v>45</v>
      </c>
      <c r="M2" t="s">
        <v>31</v>
      </c>
    </row>
    <row r="3" spans="1:13" x14ac:dyDescent="0.3">
      <c r="A3" s="1" t="s">
        <v>10</v>
      </c>
      <c r="B3" s="2">
        <v>5215751.2774999999</v>
      </c>
      <c r="E3" s="3">
        <v>4761.062883962848</v>
      </c>
      <c r="G3" s="2">
        <v>7689116.5575999999</v>
      </c>
      <c r="I3">
        <v>4722</v>
      </c>
      <c r="K3" s="2">
        <v>889872.32239999995</v>
      </c>
      <c r="M3">
        <v>10</v>
      </c>
    </row>
    <row r="4" spans="1:13" x14ac:dyDescent="0.3">
      <c r="A4" s="1" t="s">
        <v>11</v>
      </c>
      <c r="B4" s="2">
        <v>867542.24360000005</v>
      </c>
      <c r="G4" s="2"/>
      <c r="K4" s="2"/>
    </row>
    <row r="5" spans="1:13" x14ac:dyDescent="0.3">
      <c r="G5" s="2"/>
      <c r="K5" s="2"/>
    </row>
    <row r="6" spans="1:13" x14ac:dyDescent="0.3">
      <c r="F6" t="s">
        <v>32</v>
      </c>
      <c r="G6" s="2" t="s">
        <v>33</v>
      </c>
      <c r="I6" t="s">
        <v>12</v>
      </c>
      <c r="J6" t="s">
        <v>13</v>
      </c>
      <c r="K6" s="2" t="s">
        <v>14</v>
      </c>
    </row>
    <row r="7" spans="1:13" x14ac:dyDescent="0.3">
      <c r="C7" t="s">
        <v>4</v>
      </c>
      <c r="D7" t="s">
        <v>2</v>
      </c>
      <c r="F7" s="1" t="s">
        <v>34</v>
      </c>
      <c r="G7" s="2">
        <v>995032.6237</v>
      </c>
      <c r="I7">
        <v>7</v>
      </c>
      <c r="J7" s="1" t="s">
        <v>15</v>
      </c>
      <c r="K7" s="2">
        <v>555558.61109999998</v>
      </c>
    </row>
    <row r="8" spans="1:13" x14ac:dyDescent="0.3">
      <c r="A8" t="s">
        <v>0</v>
      </c>
      <c r="C8" s="1" t="s">
        <v>5</v>
      </c>
      <c r="D8" s="2">
        <v>5215751.2774999999</v>
      </c>
      <c r="F8" s="1" t="s">
        <v>35</v>
      </c>
      <c r="G8" s="2">
        <v>2715079.5337</v>
      </c>
      <c r="I8">
        <v>9</v>
      </c>
      <c r="J8" s="1" t="s">
        <v>16</v>
      </c>
      <c r="K8" s="2">
        <v>389248.70250000001</v>
      </c>
    </row>
    <row r="9" spans="1:13" x14ac:dyDescent="0.3">
      <c r="A9">
        <v>3</v>
      </c>
      <c r="C9" s="1" t="s">
        <v>6</v>
      </c>
      <c r="D9" s="2">
        <v>1605823.0364999999</v>
      </c>
      <c r="F9" s="1" t="s">
        <v>36</v>
      </c>
      <c r="G9" s="2">
        <v>711011.83589999995</v>
      </c>
      <c r="I9">
        <v>4</v>
      </c>
      <c r="J9" s="1" t="s">
        <v>17</v>
      </c>
      <c r="K9" s="2">
        <v>368472.72940000001</v>
      </c>
    </row>
    <row r="10" spans="1:13" x14ac:dyDescent="0.3">
      <c r="C10" s="1" t="s">
        <v>7</v>
      </c>
      <c r="D10" s="2">
        <v>867542.24360000005</v>
      </c>
      <c r="F10" s="1" t="s">
        <v>37</v>
      </c>
      <c r="G10" s="2">
        <v>394020.0981</v>
      </c>
      <c r="I10">
        <v>11</v>
      </c>
      <c r="J10" s="1" t="s">
        <v>18</v>
      </c>
      <c r="K10" s="2">
        <v>226765.55100000001</v>
      </c>
    </row>
    <row r="11" spans="1:13" x14ac:dyDescent="0.3">
      <c r="F11" s="1" t="s">
        <v>38</v>
      </c>
      <c r="G11" s="2">
        <v>916684.78</v>
      </c>
      <c r="I11">
        <v>56</v>
      </c>
      <c r="J11" s="1" t="s">
        <v>19</v>
      </c>
      <c r="K11" s="2">
        <v>211584.6153</v>
      </c>
    </row>
    <row r="12" spans="1:13" x14ac:dyDescent="0.3">
      <c r="A12" t="s">
        <v>41</v>
      </c>
      <c r="B12" t="s">
        <v>42</v>
      </c>
      <c r="F12" s="1" t="s">
        <v>39</v>
      </c>
      <c r="G12" s="2">
        <v>292189.19819999998</v>
      </c>
    </row>
    <row r="13" spans="1:13" x14ac:dyDescent="0.3">
      <c r="A13" s="2">
        <v>6069038.6364000002</v>
      </c>
      <c r="B13" s="1" t="s">
        <v>43</v>
      </c>
      <c r="F13" s="1" t="s">
        <v>40</v>
      </c>
      <c r="G13" s="2">
        <v>1665098.4879999999</v>
      </c>
    </row>
    <row r="14" spans="1:13" x14ac:dyDescent="0.3">
      <c r="A14" s="2">
        <v>1620077.9212</v>
      </c>
      <c r="B14" s="1" t="s">
        <v>44</v>
      </c>
    </row>
    <row r="15" spans="1:13" x14ac:dyDescent="0.3">
      <c r="E15" t="s">
        <v>55</v>
      </c>
    </row>
    <row r="16" spans="1:13" x14ac:dyDescent="0.3">
      <c r="A16" t="s">
        <v>41</v>
      </c>
      <c r="B16" t="s">
        <v>42</v>
      </c>
      <c r="E16">
        <v>9</v>
      </c>
    </row>
    <row r="17" spans="1:2" x14ac:dyDescent="0.3">
      <c r="A17" s="2">
        <v>6757582.2337999996</v>
      </c>
      <c r="B17" s="1" t="s">
        <v>43</v>
      </c>
    </row>
    <row r="18" spans="1:2" x14ac:dyDescent="0.3">
      <c r="A18" s="2">
        <v>931534.32380000001</v>
      </c>
      <c r="B18" s="1" t="s">
        <v>44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F976C6-6EAE-4D19-92BB-7CDD69304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bikestore store_wise_sales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kumawat</dc:creator>
  <cp:lastModifiedBy>vanshika kumawat</cp:lastModifiedBy>
  <dcterms:created xsi:type="dcterms:W3CDTF">2026-06-07T11:52:09Z</dcterms:created>
  <dcterms:modified xsi:type="dcterms:W3CDTF">2026-06-14T10:01:31Z</dcterms:modified>
</cp:coreProperties>
</file>